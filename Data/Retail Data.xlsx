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F67794F6-69ED-425A-AB79-9F963A8D31D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 (2)" sheetId="3" r:id="rId1"/>
  </sheets>
  <definedNames>
    <definedName name="JR_PAGE_ANCHOR_0_1">#REF!</definedName>
  </definedNames>
  <calcPr calcId="191029"/>
</workbook>
</file>

<file path=xl/calcChain.xml><?xml version="1.0" encoding="utf-8"?>
<calcChain xmlns="http://schemas.openxmlformats.org/spreadsheetml/2006/main">
  <c r="Y264" i="3" l="1"/>
  <c r="Y263" i="3"/>
  <c r="Y262" i="3"/>
  <c r="Y261" i="3"/>
  <c r="Y260" i="3"/>
  <c r="Y259" i="3"/>
  <c r="Y258" i="3"/>
  <c r="Y257" i="3"/>
  <c r="Y256" i="3"/>
  <c r="Y255" i="3"/>
  <c r="Y254" i="3"/>
  <c r="Y253" i="3"/>
  <c r="Y252" i="3"/>
  <c r="Y251" i="3"/>
  <c r="Y250" i="3"/>
  <c r="Y249" i="3"/>
  <c r="Y248" i="3"/>
  <c r="Y247" i="3"/>
  <c r="Y246" i="3"/>
  <c r="Y245" i="3"/>
  <c r="Y244" i="3"/>
  <c r="Y243" i="3"/>
  <c r="Y242" i="3"/>
  <c r="Y241" i="3"/>
  <c r="Y240" i="3"/>
  <c r="Y239" i="3"/>
  <c r="Y238" i="3"/>
  <c r="Y237" i="3"/>
  <c r="Y236" i="3"/>
  <c r="Y235" i="3"/>
  <c r="Y234" i="3"/>
  <c r="Y233" i="3"/>
  <c r="Y232" i="3"/>
  <c r="Y231" i="3"/>
  <c r="Y230" i="3"/>
  <c r="Y229" i="3"/>
  <c r="Y228" i="3"/>
  <c r="Y227" i="3"/>
  <c r="Y226" i="3"/>
  <c r="Y225" i="3"/>
  <c r="Y224" i="3"/>
  <c r="Y223" i="3"/>
  <c r="Y222" i="3"/>
  <c r="Y221" i="3"/>
  <c r="Y220" i="3"/>
  <c r="Y219" i="3"/>
  <c r="Y218" i="3"/>
  <c r="Y217" i="3"/>
  <c r="Y216" i="3"/>
  <c r="Y215" i="3"/>
  <c r="Y214" i="3"/>
  <c r="Y213" i="3"/>
  <c r="Y212" i="3"/>
  <c r="Y211" i="3"/>
  <c r="Y210" i="3"/>
  <c r="Y209" i="3"/>
  <c r="Y208" i="3"/>
  <c r="Y207" i="3"/>
  <c r="Y206" i="3"/>
  <c r="Y205" i="3"/>
  <c r="Y204" i="3"/>
  <c r="Y203" i="3"/>
  <c r="Y202" i="3"/>
  <c r="Y201" i="3"/>
  <c r="Y200" i="3"/>
  <c r="Y199" i="3"/>
  <c r="Y198" i="3"/>
  <c r="Y197" i="3"/>
  <c r="Y196" i="3"/>
  <c r="Y195" i="3"/>
  <c r="Y194" i="3"/>
  <c r="Y193" i="3"/>
  <c r="Y192" i="3"/>
  <c r="Y191" i="3"/>
  <c r="Y190" i="3"/>
  <c r="Y189" i="3"/>
  <c r="Y188" i="3"/>
  <c r="Y187" i="3"/>
  <c r="Y186" i="3"/>
  <c r="Y185" i="3"/>
  <c r="Y184" i="3"/>
  <c r="Y183" i="3"/>
  <c r="Y182" i="3"/>
  <c r="Y181" i="3"/>
  <c r="Y180" i="3"/>
  <c r="Y179" i="3"/>
  <c r="Y178" i="3"/>
  <c r="Y177" i="3"/>
  <c r="Y176" i="3"/>
  <c r="Y175" i="3"/>
  <c r="Y174" i="3"/>
  <c r="Y173" i="3"/>
  <c r="Y172" i="3"/>
  <c r="Y171" i="3"/>
  <c r="Y170" i="3"/>
  <c r="Y169" i="3"/>
  <c r="Y168" i="3"/>
  <c r="Y167" i="3"/>
  <c r="Y166" i="3"/>
  <c r="Y165" i="3"/>
  <c r="Y164" i="3"/>
  <c r="Y163" i="3"/>
  <c r="Y162" i="3"/>
  <c r="Y161" i="3"/>
  <c r="Y160" i="3"/>
  <c r="Y159" i="3"/>
  <c r="Y158" i="3"/>
  <c r="Y157" i="3"/>
  <c r="Y156" i="3"/>
  <c r="Y155" i="3"/>
  <c r="Y154" i="3"/>
  <c r="Y153" i="3"/>
  <c r="Y152" i="3"/>
  <c r="Y151" i="3"/>
  <c r="Y150" i="3"/>
  <c r="Y149" i="3"/>
  <c r="Y148" i="3"/>
  <c r="Y147" i="3"/>
  <c r="Y146" i="3"/>
  <c r="Y145" i="3"/>
  <c r="Y144" i="3"/>
  <c r="Y143" i="3"/>
  <c r="Y142" i="3"/>
  <c r="Y141" i="3"/>
  <c r="Y140" i="3"/>
  <c r="Y139" i="3"/>
  <c r="Y138" i="3"/>
  <c r="Y137" i="3"/>
  <c r="Y136" i="3"/>
  <c r="Y135" i="3"/>
  <c r="Y134" i="3"/>
  <c r="Y133" i="3"/>
  <c r="Y132" i="3"/>
  <c r="Y131" i="3"/>
  <c r="Y130" i="3"/>
  <c r="Y129" i="3"/>
  <c r="Y128" i="3"/>
  <c r="Y127" i="3"/>
  <c r="Y126" i="3"/>
  <c r="Y125" i="3"/>
  <c r="Y124" i="3"/>
  <c r="Y123" i="3"/>
  <c r="Y122" i="3"/>
  <c r="Y121" i="3"/>
  <c r="Y120" i="3"/>
  <c r="Y119" i="3"/>
  <c r="Y118" i="3"/>
  <c r="Y117" i="3"/>
  <c r="Y116" i="3"/>
  <c r="Y115" i="3"/>
  <c r="Y114" i="3"/>
  <c r="Y113" i="3"/>
  <c r="Y112" i="3"/>
  <c r="Y111" i="3"/>
  <c r="Y110" i="3"/>
  <c r="Y109" i="3"/>
  <c r="Y108" i="3"/>
  <c r="Y107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Y2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</calcChain>
</file>

<file path=xl/sharedStrings.xml><?xml version="1.0" encoding="utf-8"?>
<sst xmlns="http://schemas.openxmlformats.org/spreadsheetml/2006/main" count="296" uniqueCount="296">
  <si>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</si>
  <si>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</si>
  <si>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</si>
  <si>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</si>
  <si>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</si>
  <si>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</si>
  <si>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</si>
  <si>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</si>
  <si>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</si>
  <si>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</si>
  <si>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</si>
  <si>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</si>
  <si>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</si>
  <si>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</si>
  <si>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</si>
  <si>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</si>
  <si>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</si>
  <si>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</si>
  <si>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</si>
  <si>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</si>
  <si>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</si>
  <si>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</si>
  <si>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</si>
  <si>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</si>
  <si>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</si>
  <si>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</si>
  <si>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</si>
  <si>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</si>
  <si>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</si>
  <si>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</si>
  <si>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</si>
  <si>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</si>
  <si>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</si>
  <si>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</si>
  <si>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</si>
  <si>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</si>
  <si>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</si>
  <si>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</si>
  <si>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</si>
  <si>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</si>
  <si>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</si>
  <si>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</si>
  <si>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</si>
  <si>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</si>
  <si>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</si>
  <si>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</si>
  <si>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</si>
  <si>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</si>
  <si>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</si>
  <si>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</si>
  <si>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</si>
  <si>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</si>
  <si>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</si>
  <si>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</si>
  <si>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</si>
  <si>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</si>
  <si>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</si>
  <si>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</si>
  <si>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</si>
  <si>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</si>
  <si>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</si>
  <si>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</si>
  <si>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</si>
  <si>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</si>
  <si>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</si>
  <si>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</si>
  <si>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</si>
  <si>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</si>
  <si>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</si>
  <si>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</si>
  <si>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</si>
  <si>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</si>
  <si>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</si>
  <si>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</si>
  <si>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</si>
  <si>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</si>
  <si>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</si>
  <si>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</si>
  <si>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</si>
  <si>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</si>
  <si>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</si>
  <si>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</si>
  <si>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</si>
  <si>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</si>
  <si>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</si>
  <si>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</si>
  <si>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</si>
  <si>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</si>
  <si>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</si>
  <si>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</si>
  <si>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</si>
  <si>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</si>
  <si>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</si>
  <si>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</si>
  <si>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</si>
  <si>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</si>
  <si>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</si>
  <si>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</si>
  <si>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</si>
  <si>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</si>
  <si>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</si>
  <si>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</si>
  <si>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</si>
  <si>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</si>
  <si>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</si>
  <si>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</si>
  <si>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</si>
  <si>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</si>
  <si>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</si>
  <si>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</si>
  <si>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</si>
  <si>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</si>
  <si>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</si>
  <si>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</si>
  <si>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</si>
  <si>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</si>
  <si>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</si>
  <si>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</si>
  <si>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</si>
  <si>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</si>
  <si>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</si>
  <si>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</si>
  <si>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</si>
  <si>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</si>
  <si>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</si>
  <si>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</si>
  <si>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</si>
  <si>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</si>
  <si>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</si>
  <si>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</si>
  <si>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</si>
  <si>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</si>
  <si>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</si>
  <si>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</si>
  <si>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</si>
  <si>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</si>
  <si>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</si>
  <si>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</si>
  <si>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</si>
  <si>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</si>
  <si>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</si>
  <si>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</si>
  <si>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</si>
  <si>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</si>
  <si>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</si>
  <si>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</si>
  <si>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</si>
  <si>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</si>
  <si>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</si>
  <si>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</si>
  <si>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</si>
  <si>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</si>
  <si>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</si>
  <si>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</si>
  <si>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</si>
  <si>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</si>
  <si>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</si>
  <si>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</si>
  <si>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</si>
  <si>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</si>
  <si>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</si>
  <si>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</si>
  <si>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</si>
  <si>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</si>
  <si>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</si>
  <si>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</si>
  <si>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</si>
  <si>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</si>
  <si>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</si>
  <si>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</si>
  <si>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</si>
  <si>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</si>
  <si>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</si>
  <si>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</si>
  <si>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</si>
  <si>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</si>
  <si>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</si>
  <si>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</si>
  <si>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</si>
  <si>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</si>
  <si>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</si>
  <si>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</si>
  <si>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</si>
  <si>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</si>
  <si>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</si>
  <si>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</si>
  <si>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</si>
  <si>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</si>
  <si>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</si>
  <si>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</si>
  <si>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2008M12</t>
  </si>
  <si>
    <t>2008M11</t>
  </si>
  <si>
    <t>2008M10</t>
  </si>
  <si>
    <t>2008M09</t>
  </si>
  <si>
    <t>2008M08</t>
  </si>
  <si>
    <t>2008M07</t>
  </si>
  <si>
    <t>2008M06</t>
  </si>
  <si>
    <t>2008M05</t>
  </si>
  <si>
    <t>2008M04</t>
  </si>
  <si>
    <t>2008M03</t>
  </si>
  <si>
    <t>2008M02</t>
  </si>
  <si>
    <t>2008M01</t>
  </si>
  <si>
    <t>2007M12</t>
  </si>
  <si>
    <t>2007M11</t>
  </si>
  <si>
    <t>2007M10</t>
  </si>
  <si>
    <t>2007M09</t>
  </si>
  <si>
    <t>2007M08</t>
  </si>
  <si>
    <t>2007M07</t>
  </si>
  <si>
    <t>2007M06</t>
  </si>
  <si>
    <t>2007M05</t>
  </si>
  <si>
    <t>2007M04</t>
  </si>
  <si>
    <t>2007M03</t>
  </si>
  <si>
    <t>2007M02</t>
  </si>
  <si>
    <t>2007M01</t>
  </si>
  <si>
    <t>2006M12</t>
  </si>
  <si>
    <t>2006M11</t>
  </si>
  <si>
    <t>2006M10</t>
  </si>
  <si>
    <t>2006M09</t>
  </si>
  <si>
    <t>2006M08</t>
  </si>
  <si>
    <t>2006M07</t>
  </si>
  <si>
    <t>2006M06</t>
  </si>
  <si>
    <t>2006M05</t>
  </si>
  <si>
    <t>2006M04</t>
  </si>
  <si>
    <t>2006M03</t>
  </si>
  <si>
    <t>2006M02</t>
  </si>
  <si>
    <t>2006M01</t>
  </si>
  <si>
    <t>2005M12</t>
  </si>
  <si>
    <t>2005M11</t>
  </si>
  <si>
    <t>2005M10</t>
  </si>
  <si>
    <t>2005M09</t>
  </si>
  <si>
    <t>2005M08</t>
  </si>
  <si>
    <t>2005M07</t>
  </si>
  <si>
    <t>2005M06</t>
  </si>
  <si>
    <t>2005M05</t>
  </si>
  <si>
    <t>2005M04</t>
  </si>
  <si>
    <t>2005M03</t>
  </si>
  <si>
    <t>2005M02</t>
  </si>
  <si>
    <t>2005M01</t>
  </si>
  <si>
    <t>2004M12</t>
  </si>
  <si>
    <t>2004M11</t>
  </si>
  <si>
    <t>2004M10</t>
  </si>
  <si>
    <t>2004M09</t>
  </si>
  <si>
    <t>2004M08</t>
  </si>
  <si>
    <t>2004M07</t>
  </si>
  <si>
    <t>2004M06</t>
  </si>
  <si>
    <t>2004M05</t>
  </si>
  <si>
    <t>2004M04</t>
  </si>
  <si>
    <t>2004M03</t>
  </si>
  <si>
    <t>2004M02</t>
  </si>
  <si>
    <t>2004M01</t>
  </si>
  <si>
    <t>Laikotarpis</t>
  </si>
  <si>
    <t>Year</t>
  </si>
  <si>
    <t>Month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</si>
  <si>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</si>
  <si>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</si>
  <si>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</si>
  <si>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</si>
  <si>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</si>
  <si>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</si>
  <si>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</si>
  <si>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</si>
  <si>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</si>
  <si>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</si>
  <si>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</si>
  <si>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</si>
  <si>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</si>
  <si>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Confidence</t>
  </si>
  <si>
    <t>Prices_unchanged</t>
  </si>
  <si>
    <t>Prices_balance</t>
  </si>
  <si>
    <t>Prices_Higher</t>
  </si>
  <si>
    <t>Prices_Lower</t>
  </si>
  <si>
    <t>Purchases_Higher</t>
  </si>
  <si>
    <t>Purchases_unchanged</t>
  </si>
  <si>
    <t>Purchases_Lower</t>
  </si>
  <si>
    <t>Purchases_balance</t>
  </si>
  <si>
    <t>Stock_balance</t>
  </si>
  <si>
    <t>Stock_too_high</t>
  </si>
  <si>
    <t>Stock_enough</t>
  </si>
  <si>
    <t>Stock_too_small</t>
  </si>
  <si>
    <t>Situation_balance_forecast</t>
  </si>
  <si>
    <t>Situation_veryeasy_forecast</t>
  </si>
  <si>
    <t>Situation_easy_forecast</t>
  </si>
  <si>
    <t>Situation_hard_forecast</t>
  </si>
  <si>
    <t>Situation_very_hard_forecast</t>
  </si>
  <si>
    <t>Business_Situation_Future_better</t>
  </si>
  <si>
    <t>Business_Situation_Future_unchanged</t>
  </si>
  <si>
    <t>Business_Situation_Future_Worse</t>
  </si>
  <si>
    <t>Business_Situation_Future_balance</t>
  </si>
  <si>
    <t>Business_Situation_Past_better</t>
  </si>
  <si>
    <t>Business_Situation_Past_unchanged</t>
  </si>
  <si>
    <t>Business_Situation_Past_Worse</t>
  </si>
  <si>
    <t>Business_Situation_Past_balance</t>
  </si>
  <si>
    <t>Business_Situation_Current_better</t>
  </si>
  <si>
    <t>Business_Situation_Current_unchanged</t>
  </si>
  <si>
    <t>Business_Situation_Current_Worse</t>
  </si>
  <si>
    <t>Business_Situation_Current_balance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</si>
</sst>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656565"/>
      <name val="SegoeUI"/>
      <family val="2"/>
    </font>
    <font>
      <sz val="10"/>
      <color rgb="FF1C1C1C"/>
      <name val="SegoeUI"/>
      <family val="2"/>
    </font>
  </fonts>
  <fills count="6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F4F4F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2" fillId="4" borderId="0" xfId="0" applyFont="1" applyFill="1" applyAlignment="1">
      <alignment horizontal="right" vertical="center" wrapText="1"/>
    </xf>
    <xf numFmtId="0" fontId="0" fillId="5" borderId="0" xfId="0" applyFill="1" applyAlignment="1">
      <alignment wrapText="1"/>
    </xf>
    <xf numFmtId="0" fontId="2" fillId="5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2CC5-D637-4963-B3AE-85ACC31DE014}">
  <dimension ref="A1:AG264"/>
  <sheetViews>
    <sheetView tabSelected="1" workbookViewId="0">
      <pane xSplit="2" ySplit="1" topLeftCell="C102" activePane="bottomRight" state="frozen"/>
      <selection pane="topRight" activeCell="C1" sqref="C1"/>
      <selection pane="bottomLeft" activeCell="A2" sqref="A2"/>
      <selection pane="bottomRight" activeCell="O242" sqref="O242"/>
    </sheetView>
  </sheetViews>
  <sheetFormatPr defaultRowHeight="15"/>
  <cols>
    <col min="3" max="3" width="10.5703125" bestFit="1" customWidth="1"/>
  </cols>
  <sheetData>
    <row r="1" spans="1:33" s="4" customFormat="1" ht="75">
      <c r="A1" s="4" t="s">
        <v>251</v>
      </c>
      <c r="B1" s="4" t="s">
        <v>252</v>
      </c>
      <c r="C1" s="4" t="s">
        <v>250</v>
      </c>
      <c r="D1" s="4" t="s">
        <v>284</v>
      </c>
      <c r="E1" s="4" t="s">
        <v>285</v>
      </c>
      <c r="F1" s="4" t="s">
        <v>286</v>
      </c>
      <c r="G1" s="7" t="s">
        <v>287</v>
      </c>
      <c r="H1" s="4" t="s">
        <v>288</v>
      </c>
      <c r="I1" s="4" t="s">
        <v>289</v>
      </c>
      <c r="J1" s="4" t="s">
        <v>290</v>
      </c>
      <c r="K1" s="7" t="s">
        <v>291</v>
      </c>
      <c r="L1" s="4" t="s">
        <v>292</v>
      </c>
      <c r="M1" s="4" t="s">
        <v>293</v>
      </c>
      <c r="N1" s="4" t="s">
        <v>294</v>
      </c>
      <c r="O1" s="4" t="s">
        <v>295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279</v>
      </c>
      <c r="U1" s="4" t="s">
        <v>276</v>
      </c>
      <c r="V1" s="4" t="s">
        <v>277</v>
      </c>
      <c r="W1" s="4" t="s">
        <v>278</v>
      </c>
      <c r="X1" s="7" t="s">
        <v>275</v>
      </c>
      <c r="Y1" s="7" t="s">
        <v>266</v>
      </c>
      <c r="Z1" s="4" t="s">
        <v>271</v>
      </c>
      <c r="AA1" s="4" t="s">
        <v>272</v>
      </c>
      <c r="AB1" s="4" t="s">
        <v>273</v>
      </c>
      <c r="AC1" s="4" t="s">
        <v>274</v>
      </c>
      <c r="AD1" s="4" t="s">
        <v>269</v>
      </c>
      <c r="AE1" s="4" t="s">
        <v>267</v>
      </c>
      <c r="AF1" s="4" t="s">
        <v>270</v>
      </c>
      <c r="AG1" s="4" t="s">
        <v>268</v>
      </c>
    </row>
    <row r="2" spans="1:33">
      <c r="A2">
        <v>2004</v>
      </c>
      <c r="B2">
        <v>1</v>
      </c>
      <c r="C2" s="2" t="s">
        <v>249</v>
      </c>
      <c r="D2" s="3">
        <v>6</v>
      </c>
      <c r="E2" s="3">
        <v>84</v>
      </c>
      <c r="F2" s="3">
        <v>10</v>
      </c>
      <c r="G2" s="8">
        <v>-4</v>
      </c>
      <c r="H2" s="3">
        <v>10</v>
      </c>
      <c r="I2" s="3">
        <v>77</v>
      </c>
      <c r="J2" s="3">
        <v>13</v>
      </c>
      <c r="K2" s="8">
        <v>-3</v>
      </c>
      <c r="L2">
        <v>10</v>
      </c>
      <c r="M2">
        <v>88</v>
      </c>
      <c r="N2">
        <v>3</v>
      </c>
      <c r="O2">
        <v>7</v>
      </c>
      <c r="P2" s="5"/>
      <c r="Q2" s="5"/>
      <c r="R2" s="5"/>
      <c r="S2" s="5"/>
      <c r="T2" s="5"/>
      <c r="U2" s="3">
        <v>3</v>
      </c>
      <c r="V2" s="3">
        <v>95</v>
      </c>
      <c r="W2" s="3">
        <v>2</v>
      </c>
      <c r="X2" s="3">
        <v>1</v>
      </c>
      <c r="Y2">
        <f>(G2+K2-X2)/3</f>
        <v>-2.6666666666666665</v>
      </c>
      <c r="Z2">
        <v>10</v>
      </c>
      <c r="AA2">
        <v>77</v>
      </c>
      <c r="AB2">
        <v>13</v>
      </c>
      <c r="AC2">
        <v>-3</v>
      </c>
      <c r="AD2">
        <v>13</v>
      </c>
      <c r="AE2">
        <v>79</v>
      </c>
      <c r="AF2">
        <v>8</v>
      </c>
      <c r="AG2">
        <v>5</v>
      </c>
    </row>
    <row r="3" spans="1:33">
      <c r="A3">
        <v>2004</v>
      </c>
      <c r="B3">
        <v>2</v>
      </c>
      <c r="C3" s="2" t="s">
        <v>248</v>
      </c>
      <c r="D3" s="3">
        <v>18</v>
      </c>
      <c r="E3" s="3">
        <v>75</v>
      </c>
      <c r="F3" s="3">
        <v>7</v>
      </c>
      <c r="G3" s="3">
        <v>11</v>
      </c>
      <c r="H3" s="3">
        <v>17</v>
      </c>
      <c r="I3" s="3">
        <v>78</v>
      </c>
      <c r="J3" s="3">
        <v>5</v>
      </c>
      <c r="K3" s="3">
        <v>12</v>
      </c>
      <c r="L3">
        <v>55</v>
      </c>
      <c r="M3">
        <v>42</v>
      </c>
      <c r="N3">
        <v>3</v>
      </c>
      <c r="O3">
        <v>52</v>
      </c>
      <c r="P3" s="5"/>
      <c r="Q3" s="5"/>
      <c r="R3" s="5"/>
      <c r="S3" s="5"/>
      <c r="T3" s="5"/>
      <c r="U3" s="3">
        <v>3</v>
      </c>
      <c r="V3" s="3">
        <v>95</v>
      </c>
      <c r="W3" s="3">
        <v>2</v>
      </c>
      <c r="X3" s="3">
        <v>1</v>
      </c>
      <c r="Y3">
        <f t="shared" ref="Y3:Y66" si="0">(G3+K3-X3)/3</f>
        <v>7.333333333333333</v>
      </c>
      <c r="Z3">
        <v>23</v>
      </c>
      <c r="AA3">
        <v>71</v>
      </c>
      <c r="AB3">
        <v>6</v>
      </c>
      <c r="AC3">
        <v>17</v>
      </c>
      <c r="AD3">
        <v>6</v>
      </c>
      <c r="AE3">
        <v>90</v>
      </c>
      <c r="AF3">
        <v>4</v>
      </c>
      <c r="AG3">
        <v>2</v>
      </c>
    </row>
    <row r="4" spans="1:33">
      <c r="A4">
        <v>2004</v>
      </c>
      <c r="B4">
        <v>3</v>
      </c>
      <c r="C4" s="2" t="s">
        <v>247</v>
      </c>
      <c r="D4" s="3">
        <v>54</v>
      </c>
      <c r="E4" s="3">
        <v>41</v>
      </c>
      <c r="F4" s="3">
        <v>5</v>
      </c>
      <c r="G4" s="3">
        <v>49</v>
      </c>
      <c r="H4" s="3">
        <v>47</v>
      </c>
      <c r="I4" s="3">
        <v>36</v>
      </c>
      <c r="J4" s="3">
        <v>17</v>
      </c>
      <c r="K4" s="3">
        <v>30</v>
      </c>
      <c r="L4">
        <v>49</v>
      </c>
      <c r="M4">
        <v>49</v>
      </c>
      <c r="N4">
        <v>2</v>
      </c>
      <c r="O4">
        <v>47</v>
      </c>
      <c r="P4" s="5"/>
      <c r="Q4" s="5"/>
      <c r="R4" s="5"/>
      <c r="S4" s="5"/>
      <c r="T4" s="5"/>
      <c r="U4" s="3">
        <v>2</v>
      </c>
      <c r="V4" s="3">
        <v>95</v>
      </c>
      <c r="W4" s="3">
        <v>3</v>
      </c>
      <c r="X4" s="3">
        <v>-1</v>
      </c>
      <c r="Y4">
        <f t="shared" si="0"/>
        <v>26.666666666666668</v>
      </c>
      <c r="Z4">
        <v>60</v>
      </c>
      <c r="AA4">
        <v>33</v>
      </c>
      <c r="AB4">
        <v>7</v>
      </c>
      <c r="AC4">
        <v>53</v>
      </c>
      <c r="AD4">
        <v>10</v>
      </c>
      <c r="AE4">
        <v>87</v>
      </c>
      <c r="AF4">
        <v>3</v>
      </c>
      <c r="AG4">
        <v>7</v>
      </c>
    </row>
    <row r="5" spans="1:33">
      <c r="A5">
        <v>2004</v>
      </c>
      <c r="B5">
        <v>4</v>
      </c>
      <c r="C5" s="2" t="s">
        <v>246</v>
      </c>
      <c r="D5" s="3">
        <v>60</v>
      </c>
      <c r="E5" s="3">
        <v>35</v>
      </c>
      <c r="F5" s="3">
        <v>5</v>
      </c>
      <c r="G5" s="3">
        <v>55</v>
      </c>
      <c r="H5" s="3">
        <v>49</v>
      </c>
      <c r="I5" s="3">
        <v>42</v>
      </c>
      <c r="J5" s="3">
        <v>9</v>
      </c>
      <c r="K5" s="3">
        <v>40</v>
      </c>
      <c r="L5">
        <v>56</v>
      </c>
      <c r="M5">
        <v>40</v>
      </c>
      <c r="N5">
        <v>4</v>
      </c>
      <c r="O5">
        <v>52</v>
      </c>
      <c r="P5" s="5"/>
      <c r="Q5" s="5"/>
      <c r="R5" s="5"/>
      <c r="S5" s="5"/>
      <c r="T5" s="5"/>
      <c r="U5" s="3">
        <v>4</v>
      </c>
      <c r="V5" s="3">
        <v>92</v>
      </c>
      <c r="W5" s="3">
        <v>4</v>
      </c>
      <c r="X5" s="3">
        <v>0</v>
      </c>
      <c r="Y5">
        <f t="shared" si="0"/>
        <v>31.666666666666668</v>
      </c>
      <c r="Z5">
        <v>55</v>
      </c>
      <c r="AA5">
        <v>40</v>
      </c>
      <c r="AB5">
        <v>5</v>
      </c>
      <c r="AC5">
        <v>50</v>
      </c>
      <c r="AD5">
        <v>15</v>
      </c>
      <c r="AE5">
        <v>83</v>
      </c>
      <c r="AF5">
        <v>2</v>
      </c>
      <c r="AG5">
        <v>13</v>
      </c>
    </row>
    <row r="6" spans="1:33">
      <c r="A6">
        <v>2004</v>
      </c>
      <c r="B6">
        <v>5</v>
      </c>
      <c r="C6" s="2" t="s">
        <v>245</v>
      </c>
      <c r="D6" s="3">
        <v>57</v>
      </c>
      <c r="E6" s="3">
        <v>38</v>
      </c>
      <c r="F6" s="3">
        <v>5</v>
      </c>
      <c r="G6" s="3">
        <v>52</v>
      </c>
      <c r="H6" s="3">
        <v>45</v>
      </c>
      <c r="I6" s="3">
        <v>50</v>
      </c>
      <c r="J6" s="3">
        <v>5</v>
      </c>
      <c r="K6" s="3">
        <v>40</v>
      </c>
      <c r="L6">
        <v>54</v>
      </c>
      <c r="M6">
        <v>43</v>
      </c>
      <c r="N6">
        <v>3</v>
      </c>
      <c r="O6">
        <v>51</v>
      </c>
      <c r="P6" s="5"/>
      <c r="Q6" s="5"/>
      <c r="R6" s="5"/>
      <c r="S6" s="5"/>
      <c r="T6" s="5"/>
      <c r="U6" s="3">
        <v>9</v>
      </c>
      <c r="V6" s="3">
        <v>89</v>
      </c>
      <c r="W6" s="3">
        <v>2</v>
      </c>
      <c r="X6" s="3">
        <v>7</v>
      </c>
      <c r="Y6">
        <f t="shared" si="0"/>
        <v>28.333333333333332</v>
      </c>
      <c r="Z6">
        <v>51</v>
      </c>
      <c r="AA6">
        <v>41</v>
      </c>
      <c r="AB6">
        <v>8</v>
      </c>
      <c r="AC6">
        <v>43</v>
      </c>
      <c r="AD6">
        <v>24</v>
      </c>
      <c r="AE6">
        <v>72</v>
      </c>
      <c r="AF6">
        <v>4</v>
      </c>
      <c r="AG6">
        <v>20</v>
      </c>
    </row>
    <row r="7" spans="1:33">
      <c r="A7">
        <v>2004</v>
      </c>
      <c r="B7">
        <v>6</v>
      </c>
      <c r="C7" s="2" t="s">
        <v>244</v>
      </c>
      <c r="D7" s="3">
        <v>53</v>
      </c>
      <c r="E7" s="3">
        <v>35</v>
      </c>
      <c r="F7" s="3">
        <v>12</v>
      </c>
      <c r="G7" s="3">
        <v>41</v>
      </c>
      <c r="H7" s="3">
        <v>54</v>
      </c>
      <c r="I7" s="3">
        <v>41</v>
      </c>
      <c r="J7" s="3">
        <v>5</v>
      </c>
      <c r="K7" s="3">
        <v>49</v>
      </c>
      <c r="L7">
        <v>55</v>
      </c>
      <c r="M7">
        <v>43</v>
      </c>
      <c r="N7">
        <v>2</v>
      </c>
      <c r="O7">
        <v>53</v>
      </c>
      <c r="P7" s="5"/>
      <c r="Q7" s="5"/>
      <c r="R7" s="5"/>
      <c r="S7" s="5"/>
      <c r="T7" s="5"/>
      <c r="U7" s="3">
        <v>3</v>
      </c>
      <c r="V7" s="3">
        <v>95</v>
      </c>
      <c r="W7" s="3">
        <v>2</v>
      </c>
      <c r="X7" s="3">
        <v>1</v>
      </c>
      <c r="Y7">
        <f t="shared" si="0"/>
        <v>29.666666666666668</v>
      </c>
      <c r="Z7">
        <v>56</v>
      </c>
      <c r="AA7">
        <v>34</v>
      </c>
      <c r="AB7">
        <v>10</v>
      </c>
      <c r="AC7">
        <v>46</v>
      </c>
      <c r="AD7">
        <v>8</v>
      </c>
      <c r="AE7">
        <v>88</v>
      </c>
      <c r="AF7">
        <v>4</v>
      </c>
      <c r="AG7">
        <v>4</v>
      </c>
    </row>
    <row r="8" spans="1:33">
      <c r="A8">
        <v>2004</v>
      </c>
      <c r="B8">
        <v>7</v>
      </c>
      <c r="C8" s="2" t="s">
        <v>243</v>
      </c>
      <c r="D8" s="3">
        <v>19</v>
      </c>
      <c r="E8" s="3">
        <v>77</v>
      </c>
      <c r="F8" s="3">
        <v>4</v>
      </c>
      <c r="G8" s="3">
        <v>15</v>
      </c>
      <c r="H8" s="3">
        <v>15</v>
      </c>
      <c r="I8" s="3">
        <v>80</v>
      </c>
      <c r="J8" s="3">
        <v>5</v>
      </c>
      <c r="K8" s="3">
        <v>10</v>
      </c>
      <c r="L8">
        <v>52</v>
      </c>
      <c r="M8">
        <v>44</v>
      </c>
      <c r="N8">
        <v>2</v>
      </c>
      <c r="O8">
        <v>50</v>
      </c>
      <c r="P8" s="5"/>
      <c r="Q8" s="5"/>
      <c r="R8" s="5"/>
      <c r="S8" s="5"/>
      <c r="T8" s="5"/>
      <c r="U8" s="3">
        <v>3</v>
      </c>
      <c r="V8" s="3">
        <v>96</v>
      </c>
      <c r="W8" s="3">
        <v>1</v>
      </c>
      <c r="X8" s="3">
        <v>2</v>
      </c>
      <c r="Y8">
        <f t="shared" si="0"/>
        <v>7.666666666666667</v>
      </c>
      <c r="Z8">
        <v>64</v>
      </c>
      <c r="AA8">
        <v>29</v>
      </c>
      <c r="AB8">
        <v>7</v>
      </c>
      <c r="AC8">
        <v>57</v>
      </c>
      <c r="AD8">
        <v>6</v>
      </c>
      <c r="AE8">
        <v>91</v>
      </c>
      <c r="AF8">
        <v>3</v>
      </c>
      <c r="AG8">
        <v>3</v>
      </c>
    </row>
    <row r="9" spans="1:33">
      <c r="A9">
        <v>2004</v>
      </c>
      <c r="B9">
        <v>8</v>
      </c>
      <c r="C9" s="2" t="s">
        <v>242</v>
      </c>
      <c r="D9" s="3">
        <v>13</v>
      </c>
      <c r="E9" s="3">
        <v>84</v>
      </c>
      <c r="F9" s="3">
        <v>3</v>
      </c>
      <c r="G9" s="3">
        <v>10</v>
      </c>
      <c r="H9" s="3">
        <v>12</v>
      </c>
      <c r="I9" s="3">
        <v>82</v>
      </c>
      <c r="J9" s="3">
        <v>6</v>
      </c>
      <c r="K9" s="3">
        <v>6</v>
      </c>
      <c r="L9">
        <v>56</v>
      </c>
      <c r="M9">
        <v>41</v>
      </c>
      <c r="N9">
        <v>3</v>
      </c>
      <c r="O9">
        <v>53</v>
      </c>
      <c r="P9" s="5"/>
      <c r="Q9" s="5"/>
      <c r="R9" s="5"/>
      <c r="S9" s="5"/>
      <c r="T9" s="5"/>
      <c r="U9" s="3">
        <v>4</v>
      </c>
      <c r="V9" s="3">
        <v>93</v>
      </c>
      <c r="W9" s="3">
        <v>3</v>
      </c>
      <c r="X9" s="3">
        <v>1</v>
      </c>
      <c r="Y9">
        <f t="shared" si="0"/>
        <v>5</v>
      </c>
      <c r="Z9">
        <v>18</v>
      </c>
      <c r="AA9">
        <v>76</v>
      </c>
      <c r="AB9">
        <v>6</v>
      </c>
      <c r="AC9">
        <v>12</v>
      </c>
      <c r="AD9">
        <v>14</v>
      </c>
      <c r="AE9">
        <v>83</v>
      </c>
      <c r="AF9">
        <v>3</v>
      </c>
      <c r="AG9">
        <v>11</v>
      </c>
    </row>
    <row r="10" spans="1:33">
      <c r="A10">
        <v>2004</v>
      </c>
      <c r="B10">
        <v>9</v>
      </c>
      <c r="C10" s="2" t="s">
        <v>241</v>
      </c>
      <c r="D10" s="3">
        <v>20</v>
      </c>
      <c r="E10" s="3">
        <v>74</v>
      </c>
      <c r="F10" s="3">
        <v>6</v>
      </c>
      <c r="G10" s="3">
        <v>14</v>
      </c>
      <c r="H10" s="3">
        <v>25</v>
      </c>
      <c r="I10" s="3">
        <v>69</v>
      </c>
      <c r="J10" s="3">
        <v>6</v>
      </c>
      <c r="K10" s="3">
        <v>19</v>
      </c>
      <c r="L10">
        <v>55</v>
      </c>
      <c r="M10">
        <v>42</v>
      </c>
      <c r="N10">
        <v>3</v>
      </c>
      <c r="O10">
        <v>52</v>
      </c>
      <c r="P10" s="5"/>
      <c r="Q10" s="5"/>
      <c r="R10" s="5"/>
      <c r="S10" s="5"/>
      <c r="T10" s="5"/>
      <c r="U10" s="3">
        <v>2</v>
      </c>
      <c r="V10" s="3">
        <v>95</v>
      </c>
      <c r="W10" s="3">
        <v>3</v>
      </c>
      <c r="X10" s="3">
        <v>-1</v>
      </c>
      <c r="Y10">
        <f t="shared" si="0"/>
        <v>11.333333333333334</v>
      </c>
      <c r="Z10">
        <v>26</v>
      </c>
      <c r="AA10">
        <v>68</v>
      </c>
      <c r="AB10">
        <v>6</v>
      </c>
      <c r="AC10">
        <v>20</v>
      </c>
      <c r="AD10">
        <v>12</v>
      </c>
      <c r="AE10">
        <v>86</v>
      </c>
      <c r="AF10">
        <v>2</v>
      </c>
      <c r="AG10">
        <v>10</v>
      </c>
    </row>
    <row r="11" spans="1:33">
      <c r="A11">
        <v>2004</v>
      </c>
      <c r="B11">
        <v>10</v>
      </c>
      <c r="C11" s="2" t="s">
        <v>240</v>
      </c>
      <c r="D11" s="3">
        <v>19</v>
      </c>
      <c r="E11" s="3">
        <v>76</v>
      </c>
      <c r="F11" s="3">
        <v>5</v>
      </c>
      <c r="G11" s="3">
        <v>14</v>
      </c>
      <c r="H11" s="3">
        <v>23</v>
      </c>
      <c r="I11" s="3">
        <v>72</v>
      </c>
      <c r="J11" s="3">
        <v>5</v>
      </c>
      <c r="K11" s="3">
        <v>18</v>
      </c>
      <c r="L11">
        <v>61</v>
      </c>
      <c r="M11">
        <v>36</v>
      </c>
      <c r="N11">
        <v>3</v>
      </c>
      <c r="O11">
        <v>58</v>
      </c>
      <c r="P11" s="5"/>
      <c r="Q11" s="5"/>
      <c r="R11" s="5"/>
      <c r="S11" s="5"/>
      <c r="T11" s="5"/>
      <c r="U11" s="3">
        <v>1</v>
      </c>
      <c r="V11" s="3">
        <v>97</v>
      </c>
      <c r="W11" s="3">
        <v>2</v>
      </c>
      <c r="X11" s="3">
        <v>-1</v>
      </c>
      <c r="Y11">
        <f t="shared" si="0"/>
        <v>11</v>
      </c>
      <c r="Z11">
        <v>32</v>
      </c>
      <c r="AA11">
        <v>59</v>
      </c>
      <c r="AB11">
        <v>9</v>
      </c>
      <c r="AC11">
        <v>23</v>
      </c>
      <c r="AD11">
        <v>12</v>
      </c>
      <c r="AE11">
        <v>85</v>
      </c>
      <c r="AF11">
        <v>3</v>
      </c>
      <c r="AG11">
        <v>9</v>
      </c>
    </row>
    <row r="12" spans="1:33">
      <c r="A12">
        <v>2004</v>
      </c>
      <c r="B12">
        <v>11</v>
      </c>
      <c r="C12" s="2" t="s">
        <v>239</v>
      </c>
      <c r="D12" s="3">
        <v>18</v>
      </c>
      <c r="E12" s="3">
        <v>76</v>
      </c>
      <c r="F12" s="3">
        <v>6</v>
      </c>
      <c r="G12" s="3">
        <v>12</v>
      </c>
      <c r="H12" s="3">
        <v>23</v>
      </c>
      <c r="I12" s="3">
        <v>71</v>
      </c>
      <c r="J12" s="3">
        <v>6</v>
      </c>
      <c r="K12" s="3">
        <v>17</v>
      </c>
      <c r="L12">
        <v>54</v>
      </c>
      <c r="M12">
        <v>43</v>
      </c>
      <c r="N12">
        <v>3</v>
      </c>
      <c r="O12">
        <v>51</v>
      </c>
      <c r="P12" s="5"/>
      <c r="Q12" s="5"/>
      <c r="R12" s="5"/>
      <c r="S12" s="5"/>
      <c r="T12" s="5"/>
      <c r="U12" s="3">
        <v>2</v>
      </c>
      <c r="V12" s="3">
        <v>96</v>
      </c>
      <c r="W12" s="3">
        <v>2</v>
      </c>
      <c r="X12" s="3">
        <v>0</v>
      </c>
      <c r="Y12">
        <f t="shared" si="0"/>
        <v>9.6666666666666661</v>
      </c>
      <c r="Z12">
        <v>36</v>
      </c>
      <c r="AA12">
        <v>57</v>
      </c>
      <c r="AB12">
        <v>7</v>
      </c>
      <c r="AC12">
        <v>29</v>
      </c>
      <c r="AD12">
        <v>3</v>
      </c>
      <c r="AE12">
        <v>91</v>
      </c>
      <c r="AF12">
        <v>6</v>
      </c>
      <c r="AG12">
        <v>-3</v>
      </c>
    </row>
    <row r="13" spans="1:33">
      <c r="A13">
        <v>2004</v>
      </c>
      <c r="B13">
        <v>12</v>
      </c>
      <c r="C13" s="2" t="s">
        <v>238</v>
      </c>
      <c r="D13" s="3">
        <v>18</v>
      </c>
      <c r="E13" s="3">
        <v>74</v>
      </c>
      <c r="F13" s="3">
        <v>8</v>
      </c>
      <c r="G13" s="3">
        <v>10</v>
      </c>
      <c r="H13" s="3">
        <v>18</v>
      </c>
      <c r="I13" s="3">
        <v>75</v>
      </c>
      <c r="J13" s="3">
        <v>7</v>
      </c>
      <c r="K13" s="3">
        <v>11</v>
      </c>
      <c r="L13">
        <v>59</v>
      </c>
      <c r="M13">
        <v>38</v>
      </c>
      <c r="N13">
        <v>3</v>
      </c>
      <c r="O13">
        <v>56</v>
      </c>
      <c r="P13" s="5"/>
      <c r="Q13" s="5"/>
      <c r="R13" s="5"/>
      <c r="S13" s="5"/>
      <c r="T13" s="5"/>
      <c r="U13" s="3">
        <v>3</v>
      </c>
      <c r="V13" s="3">
        <v>95</v>
      </c>
      <c r="W13" s="3">
        <v>2</v>
      </c>
      <c r="X13" s="3">
        <v>1</v>
      </c>
      <c r="Y13">
        <f t="shared" si="0"/>
        <v>6.666666666666667</v>
      </c>
      <c r="Z13">
        <v>13</v>
      </c>
      <c r="AA13">
        <v>78</v>
      </c>
      <c r="AB13">
        <v>9</v>
      </c>
      <c r="AC13">
        <v>4</v>
      </c>
      <c r="AD13">
        <v>4</v>
      </c>
      <c r="AE13">
        <v>88</v>
      </c>
      <c r="AF13">
        <v>8</v>
      </c>
      <c r="AG13">
        <v>-5</v>
      </c>
    </row>
    <row r="14" spans="1:33">
      <c r="A14">
        <v>2005</v>
      </c>
      <c r="B14">
        <v>1</v>
      </c>
      <c r="C14" s="2" t="s">
        <v>237</v>
      </c>
      <c r="D14" s="3">
        <v>7</v>
      </c>
      <c r="E14" s="3">
        <v>85</v>
      </c>
      <c r="F14" s="3">
        <v>8</v>
      </c>
      <c r="G14" s="3">
        <v>-1</v>
      </c>
      <c r="H14" s="3">
        <v>10</v>
      </c>
      <c r="I14" s="3">
        <v>84</v>
      </c>
      <c r="J14" s="3">
        <v>6</v>
      </c>
      <c r="K14" s="3">
        <v>4</v>
      </c>
      <c r="L14">
        <v>49</v>
      </c>
      <c r="M14">
        <v>50</v>
      </c>
      <c r="N14">
        <v>1</v>
      </c>
      <c r="O14">
        <v>48</v>
      </c>
      <c r="P14" s="5"/>
      <c r="Q14" s="5"/>
      <c r="R14" s="5"/>
      <c r="S14" s="5"/>
      <c r="T14" s="5"/>
      <c r="U14" s="3">
        <v>3</v>
      </c>
      <c r="V14" s="3">
        <v>95</v>
      </c>
      <c r="W14" s="3">
        <v>2</v>
      </c>
      <c r="X14" s="3">
        <v>1</v>
      </c>
      <c r="Y14">
        <f t="shared" si="0"/>
        <v>0.66666666666666663</v>
      </c>
      <c r="Z14">
        <v>10</v>
      </c>
      <c r="AA14">
        <v>79</v>
      </c>
      <c r="AB14">
        <v>11</v>
      </c>
      <c r="AC14">
        <v>-1</v>
      </c>
      <c r="AD14">
        <v>4</v>
      </c>
      <c r="AE14">
        <v>92</v>
      </c>
      <c r="AF14">
        <v>4</v>
      </c>
      <c r="AG14">
        <v>0</v>
      </c>
    </row>
    <row r="15" spans="1:33">
      <c r="A15">
        <v>2005</v>
      </c>
      <c r="B15">
        <v>2</v>
      </c>
      <c r="C15" s="2" t="s">
        <v>236</v>
      </c>
      <c r="D15" s="3">
        <v>19</v>
      </c>
      <c r="E15" s="3">
        <v>76</v>
      </c>
      <c r="F15" s="3">
        <v>5</v>
      </c>
      <c r="G15" s="3">
        <v>14</v>
      </c>
      <c r="H15" s="3">
        <v>18</v>
      </c>
      <c r="I15" s="3">
        <v>75</v>
      </c>
      <c r="J15" s="3">
        <v>7</v>
      </c>
      <c r="K15" s="3">
        <v>11</v>
      </c>
      <c r="L15">
        <v>58</v>
      </c>
      <c r="M15">
        <v>40</v>
      </c>
      <c r="N15">
        <v>2</v>
      </c>
      <c r="O15">
        <v>56</v>
      </c>
      <c r="P15" s="5"/>
      <c r="Q15" s="5"/>
      <c r="R15" s="5"/>
      <c r="S15" s="5"/>
      <c r="T15" s="5"/>
      <c r="U15" s="3">
        <v>3</v>
      </c>
      <c r="V15" s="3">
        <v>95</v>
      </c>
      <c r="W15" s="3">
        <v>2</v>
      </c>
      <c r="X15" s="3">
        <v>1</v>
      </c>
      <c r="Y15">
        <f t="shared" si="0"/>
        <v>8</v>
      </c>
      <c r="Z15">
        <v>29</v>
      </c>
      <c r="AA15">
        <v>63</v>
      </c>
      <c r="AB15">
        <v>8</v>
      </c>
      <c r="AC15">
        <v>21</v>
      </c>
      <c r="AD15">
        <v>5</v>
      </c>
      <c r="AE15">
        <v>92</v>
      </c>
      <c r="AF15">
        <v>3</v>
      </c>
      <c r="AG15">
        <v>2</v>
      </c>
    </row>
    <row r="16" spans="1:33">
      <c r="A16">
        <v>2005</v>
      </c>
      <c r="B16">
        <v>3</v>
      </c>
      <c r="C16" s="2" t="s">
        <v>235</v>
      </c>
      <c r="D16" s="3">
        <v>13</v>
      </c>
      <c r="E16" s="3">
        <v>83</v>
      </c>
      <c r="F16" s="3">
        <v>4</v>
      </c>
      <c r="G16" s="3">
        <v>9</v>
      </c>
      <c r="H16" s="3">
        <v>5</v>
      </c>
      <c r="I16" s="3">
        <v>85</v>
      </c>
      <c r="J16" s="3">
        <v>10</v>
      </c>
      <c r="K16" s="3">
        <v>-5</v>
      </c>
      <c r="L16">
        <v>55</v>
      </c>
      <c r="M16">
        <v>43</v>
      </c>
      <c r="N16">
        <v>2</v>
      </c>
      <c r="O16">
        <v>53</v>
      </c>
      <c r="P16" s="5"/>
      <c r="Q16" s="5"/>
      <c r="R16" s="5"/>
      <c r="S16" s="5"/>
      <c r="T16" s="5"/>
      <c r="U16" s="3">
        <v>15</v>
      </c>
      <c r="V16" s="3">
        <v>83</v>
      </c>
      <c r="W16" s="3">
        <v>2</v>
      </c>
      <c r="X16" s="3">
        <v>13</v>
      </c>
      <c r="Y16">
        <f t="shared" si="0"/>
        <v>-3</v>
      </c>
      <c r="Z16">
        <v>16</v>
      </c>
      <c r="AA16">
        <v>78</v>
      </c>
      <c r="AB16">
        <v>6</v>
      </c>
      <c r="AC16">
        <v>10</v>
      </c>
      <c r="AD16">
        <v>5</v>
      </c>
      <c r="AE16">
        <v>93</v>
      </c>
      <c r="AF16">
        <v>2</v>
      </c>
      <c r="AG16">
        <v>3</v>
      </c>
    </row>
    <row r="17" spans="1:33">
      <c r="A17">
        <v>2005</v>
      </c>
      <c r="B17">
        <v>4</v>
      </c>
      <c r="C17" s="2" t="s">
        <v>234</v>
      </c>
      <c r="D17" s="3">
        <v>14</v>
      </c>
      <c r="E17" s="3">
        <v>81</v>
      </c>
      <c r="F17" s="3">
        <v>5</v>
      </c>
      <c r="G17" s="3">
        <v>9</v>
      </c>
      <c r="H17" s="3">
        <v>11</v>
      </c>
      <c r="I17" s="3">
        <v>80</v>
      </c>
      <c r="J17" s="3">
        <v>9</v>
      </c>
      <c r="K17" s="3">
        <v>2</v>
      </c>
      <c r="L17">
        <v>55</v>
      </c>
      <c r="M17">
        <v>42</v>
      </c>
      <c r="N17">
        <v>3</v>
      </c>
      <c r="O17">
        <v>52</v>
      </c>
      <c r="P17" s="5"/>
      <c r="Q17" s="5"/>
      <c r="R17" s="5"/>
      <c r="S17" s="5"/>
      <c r="T17" s="5"/>
      <c r="U17" s="3">
        <v>2</v>
      </c>
      <c r="V17" s="3">
        <v>96</v>
      </c>
      <c r="W17" s="3">
        <v>2</v>
      </c>
      <c r="X17" s="3">
        <v>0</v>
      </c>
      <c r="Y17">
        <f t="shared" si="0"/>
        <v>3.6666666666666665</v>
      </c>
      <c r="Z17">
        <v>28</v>
      </c>
      <c r="AA17">
        <v>65</v>
      </c>
      <c r="AB17">
        <v>7</v>
      </c>
      <c r="AC17">
        <v>21</v>
      </c>
      <c r="AD17">
        <v>5</v>
      </c>
      <c r="AE17">
        <v>93</v>
      </c>
      <c r="AF17">
        <v>2</v>
      </c>
      <c r="AG17">
        <v>3</v>
      </c>
    </row>
    <row r="18" spans="1:33">
      <c r="A18">
        <v>2005</v>
      </c>
      <c r="B18">
        <v>5</v>
      </c>
      <c r="C18" s="2" t="s">
        <v>233</v>
      </c>
      <c r="D18" s="3">
        <v>15</v>
      </c>
      <c r="E18" s="3">
        <v>80</v>
      </c>
      <c r="F18" s="3">
        <v>5</v>
      </c>
      <c r="G18" s="3">
        <v>10</v>
      </c>
      <c r="H18" s="3">
        <v>24</v>
      </c>
      <c r="I18" s="3">
        <v>68</v>
      </c>
      <c r="J18" s="3">
        <v>8</v>
      </c>
      <c r="K18" s="3">
        <v>16</v>
      </c>
      <c r="L18">
        <v>54</v>
      </c>
      <c r="M18">
        <v>45</v>
      </c>
      <c r="N18">
        <v>1</v>
      </c>
      <c r="O18">
        <v>53</v>
      </c>
      <c r="P18" s="5"/>
      <c r="Q18" s="5"/>
      <c r="R18" s="5"/>
      <c r="S18" s="5"/>
      <c r="T18" s="5"/>
      <c r="U18" s="3">
        <v>3</v>
      </c>
      <c r="V18" s="3">
        <v>95</v>
      </c>
      <c r="W18" s="3">
        <v>2</v>
      </c>
      <c r="X18" s="3">
        <v>1</v>
      </c>
      <c r="Y18">
        <f t="shared" si="0"/>
        <v>8.3333333333333339</v>
      </c>
      <c r="Z18">
        <v>18</v>
      </c>
      <c r="AA18">
        <v>74</v>
      </c>
      <c r="AB18">
        <v>8</v>
      </c>
      <c r="AC18">
        <v>10</v>
      </c>
      <c r="AD18">
        <v>5</v>
      </c>
      <c r="AE18">
        <v>92</v>
      </c>
      <c r="AF18">
        <v>3</v>
      </c>
      <c r="AG18">
        <v>2</v>
      </c>
    </row>
    <row r="19" spans="1:33">
      <c r="A19">
        <v>2005</v>
      </c>
      <c r="B19">
        <v>6</v>
      </c>
      <c r="C19" s="2" t="s">
        <v>232</v>
      </c>
      <c r="D19" s="3">
        <v>23</v>
      </c>
      <c r="E19" s="3">
        <v>72</v>
      </c>
      <c r="F19" s="3">
        <v>5</v>
      </c>
      <c r="G19" s="3">
        <v>18</v>
      </c>
      <c r="H19" s="3">
        <v>21</v>
      </c>
      <c r="I19" s="3">
        <v>74</v>
      </c>
      <c r="J19" s="3">
        <v>5</v>
      </c>
      <c r="K19" s="3">
        <v>16</v>
      </c>
      <c r="L19">
        <v>57</v>
      </c>
      <c r="M19">
        <v>42</v>
      </c>
      <c r="N19">
        <v>1</v>
      </c>
      <c r="O19">
        <v>56</v>
      </c>
      <c r="P19" s="5"/>
      <c r="Q19" s="5"/>
      <c r="R19" s="5"/>
      <c r="S19" s="5"/>
      <c r="T19" s="5"/>
      <c r="U19" s="3">
        <v>3</v>
      </c>
      <c r="V19" s="3">
        <v>89</v>
      </c>
      <c r="W19" s="3">
        <v>8</v>
      </c>
      <c r="X19" s="3">
        <v>-5</v>
      </c>
      <c r="Y19">
        <f t="shared" si="0"/>
        <v>13</v>
      </c>
      <c r="Z19">
        <v>17</v>
      </c>
      <c r="AA19">
        <v>74</v>
      </c>
      <c r="AB19">
        <v>9</v>
      </c>
      <c r="AC19">
        <v>8</v>
      </c>
      <c r="AD19">
        <v>4</v>
      </c>
      <c r="AE19">
        <v>91</v>
      </c>
      <c r="AF19">
        <v>5</v>
      </c>
      <c r="AG19">
        <v>-1</v>
      </c>
    </row>
    <row r="20" spans="1:33">
      <c r="A20">
        <v>2005</v>
      </c>
      <c r="B20">
        <v>7</v>
      </c>
      <c r="C20" s="2" t="s">
        <v>231</v>
      </c>
      <c r="D20" s="3">
        <v>21</v>
      </c>
      <c r="E20" s="3">
        <v>75</v>
      </c>
      <c r="F20" s="3">
        <v>4</v>
      </c>
      <c r="G20" s="3">
        <v>17</v>
      </c>
      <c r="H20" s="3">
        <v>21</v>
      </c>
      <c r="I20" s="3">
        <v>74</v>
      </c>
      <c r="J20" s="3">
        <v>5</v>
      </c>
      <c r="K20" s="3">
        <v>16</v>
      </c>
      <c r="L20">
        <v>56</v>
      </c>
      <c r="M20">
        <v>43</v>
      </c>
      <c r="N20">
        <v>1</v>
      </c>
      <c r="O20">
        <v>55</v>
      </c>
      <c r="P20" s="5"/>
      <c r="Q20" s="5"/>
      <c r="R20" s="5"/>
      <c r="S20" s="5"/>
      <c r="T20" s="5"/>
      <c r="U20" s="3">
        <v>3</v>
      </c>
      <c r="V20" s="3">
        <v>88</v>
      </c>
      <c r="W20" s="3">
        <v>9</v>
      </c>
      <c r="X20" s="3">
        <v>-6</v>
      </c>
      <c r="Y20">
        <f t="shared" si="0"/>
        <v>13</v>
      </c>
      <c r="Z20">
        <v>25</v>
      </c>
      <c r="AA20">
        <v>70</v>
      </c>
      <c r="AB20">
        <v>5</v>
      </c>
      <c r="AC20">
        <v>20</v>
      </c>
      <c r="AD20">
        <v>5</v>
      </c>
      <c r="AE20">
        <v>92</v>
      </c>
      <c r="AF20">
        <v>3</v>
      </c>
      <c r="AG20">
        <v>2</v>
      </c>
    </row>
    <row r="21" spans="1:33">
      <c r="A21">
        <v>2005</v>
      </c>
      <c r="B21">
        <v>8</v>
      </c>
      <c r="C21" s="2" t="s">
        <v>230</v>
      </c>
      <c r="D21" s="3">
        <v>22</v>
      </c>
      <c r="E21" s="3">
        <v>74</v>
      </c>
      <c r="F21" s="3">
        <v>4</v>
      </c>
      <c r="G21" s="3">
        <v>18</v>
      </c>
      <c r="H21" s="3">
        <v>21</v>
      </c>
      <c r="I21" s="3">
        <v>74</v>
      </c>
      <c r="J21" s="3">
        <v>5</v>
      </c>
      <c r="K21" s="3">
        <v>16</v>
      </c>
      <c r="L21">
        <v>59</v>
      </c>
      <c r="M21">
        <v>39</v>
      </c>
      <c r="N21">
        <v>2</v>
      </c>
      <c r="O21">
        <v>57</v>
      </c>
      <c r="P21" s="5"/>
      <c r="Q21" s="5"/>
      <c r="R21" s="5"/>
      <c r="S21" s="5"/>
      <c r="T21" s="5"/>
      <c r="U21" s="3">
        <v>3</v>
      </c>
      <c r="V21" s="3">
        <v>94</v>
      </c>
      <c r="W21" s="3">
        <v>3</v>
      </c>
      <c r="X21" s="3">
        <v>0</v>
      </c>
      <c r="Y21">
        <f t="shared" si="0"/>
        <v>11.333333333333334</v>
      </c>
      <c r="Z21">
        <v>31</v>
      </c>
      <c r="AA21">
        <v>64</v>
      </c>
      <c r="AB21">
        <v>5</v>
      </c>
      <c r="AC21">
        <v>26</v>
      </c>
      <c r="AD21">
        <v>6</v>
      </c>
      <c r="AE21">
        <v>91</v>
      </c>
      <c r="AF21">
        <v>3</v>
      </c>
      <c r="AG21">
        <v>3</v>
      </c>
    </row>
    <row r="22" spans="1:33">
      <c r="A22">
        <v>2005</v>
      </c>
      <c r="B22">
        <v>9</v>
      </c>
      <c r="C22" s="2" t="s">
        <v>229</v>
      </c>
      <c r="D22" s="3">
        <v>23</v>
      </c>
      <c r="E22" s="3">
        <v>72</v>
      </c>
      <c r="F22" s="3">
        <v>5</v>
      </c>
      <c r="G22" s="3">
        <v>18</v>
      </c>
      <c r="H22" s="3">
        <v>25</v>
      </c>
      <c r="I22" s="3">
        <v>70</v>
      </c>
      <c r="J22" s="3">
        <v>5</v>
      </c>
      <c r="K22" s="3">
        <v>20</v>
      </c>
      <c r="L22">
        <v>58</v>
      </c>
      <c r="M22">
        <v>41</v>
      </c>
      <c r="N22">
        <v>1</v>
      </c>
      <c r="O22">
        <v>57</v>
      </c>
      <c r="P22" s="5"/>
      <c r="Q22" s="5"/>
      <c r="R22" s="5"/>
      <c r="S22" s="5"/>
      <c r="T22" s="5"/>
      <c r="U22" s="3">
        <v>3</v>
      </c>
      <c r="V22" s="3">
        <v>93</v>
      </c>
      <c r="W22" s="3">
        <v>4</v>
      </c>
      <c r="X22" s="3">
        <v>-1</v>
      </c>
      <c r="Y22">
        <f t="shared" si="0"/>
        <v>13</v>
      </c>
      <c r="Z22">
        <v>31</v>
      </c>
      <c r="AA22">
        <v>65</v>
      </c>
      <c r="AB22">
        <v>4</v>
      </c>
      <c r="AC22">
        <v>27</v>
      </c>
      <c r="AD22">
        <v>17</v>
      </c>
      <c r="AE22">
        <v>82</v>
      </c>
      <c r="AF22">
        <v>1</v>
      </c>
      <c r="AG22">
        <v>16</v>
      </c>
    </row>
    <row r="23" spans="1:33">
      <c r="A23">
        <v>2005</v>
      </c>
      <c r="B23">
        <v>10</v>
      </c>
      <c r="C23" s="2" t="s">
        <v>228</v>
      </c>
      <c r="D23" s="3">
        <v>23</v>
      </c>
      <c r="E23" s="3">
        <v>72</v>
      </c>
      <c r="F23" s="3">
        <v>5</v>
      </c>
      <c r="G23" s="3">
        <v>18</v>
      </c>
      <c r="H23" s="3">
        <v>23</v>
      </c>
      <c r="I23" s="3">
        <v>72</v>
      </c>
      <c r="J23" s="3">
        <v>5</v>
      </c>
      <c r="K23" s="3">
        <v>18</v>
      </c>
      <c r="L23">
        <v>58</v>
      </c>
      <c r="M23">
        <v>40</v>
      </c>
      <c r="N23">
        <v>2</v>
      </c>
      <c r="O23">
        <v>56</v>
      </c>
      <c r="P23" s="5"/>
      <c r="Q23" s="5"/>
      <c r="R23" s="5"/>
      <c r="S23" s="5"/>
      <c r="T23" s="5"/>
      <c r="U23" s="3">
        <v>4</v>
      </c>
      <c r="V23" s="3">
        <v>93</v>
      </c>
      <c r="W23" s="3">
        <v>3</v>
      </c>
      <c r="X23" s="3">
        <v>1</v>
      </c>
      <c r="Y23">
        <f t="shared" si="0"/>
        <v>11.666666666666666</v>
      </c>
      <c r="Z23">
        <v>36</v>
      </c>
      <c r="AA23">
        <v>59</v>
      </c>
      <c r="AB23">
        <v>5</v>
      </c>
      <c r="AC23">
        <v>31</v>
      </c>
      <c r="AD23">
        <v>8</v>
      </c>
      <c r="AE23">
        <v>90</v>
      </c>
      <c r="AF23">
        <v>2</v>
      </c>
      <c r="AG23">
        <v>6</v>
      </c>
    </row>
    <row r="24" spans="1:33">
      <c r="A24">
        <v>2005</v>
      </c>
      <c r="B24">
        <v>11</v>
      </c>
      <c r="C24" s="2" t="s">
        <v>227</v>
      </c>
      <c r="D24" s="3">
        <v>49</v>
      </c>
      <c r="E24" s="3">
        <v>43</v>
      </c>
      <c r="F24" s="3">
        <v>8</v>
      </c>
      <c r="G24" s="3">
        <v>41</v>
      </c>
      <c r="H24" s="3">
        <v>16</v>
      </c>
      <c r="I24" s="3">
        <v>79</v>
      </c>
      <c r="J24" s="3">
        <v>5</v>
      </c>
      <c r="K24" s="3">
        <v>9</v>
      </c>
      <c r="L24">
        <v>52</v>
      </c>
      <c r="M24">
        <v>46</v>
      </c>
      <c r="N24">
        <v>2</v>
      </c>
      <c r="O24">
        <v>50</v>
      </c>
      <c r="P24" s="5"/>
      <c r="Q24" s="5"/>
      <c r="R24" s="5"/>
      <c r="S24" s="5"/>
      <c r="T24" s="5"/>
      <c r="U24" s="3">
        <v>4</v>
      </c>
      <c r="V24" s="3">
        <v>92</v>
      </c>
      <c r="W24" s="3">
        <v>4</v>
      </c>
      <c r="X24" s="3">
        <v>0</v>
      </c>
      <c r="Y24">
        <f t="shared" si="0"/>
        <v>16.666666666666668</v>
      </c>
      <c r="Z24">
        <v>64</v>
      </c>
      <c r="AA24">
        <v>28</v>
      </c>
      <c r="AB24">
        <v>8</v>
      </c>
      <c r="AC24">
        <v>56</v>
      </c>
      <c r="AD24">
        <v>8</v>
      </c>
      <c r="AE24">
        <v>88</v>
      </c>
      <c r="AF24">
        <v>4</v>
      </c>
      <c r="AG24">
        <v>4</v>
      </c>
    </row>
    <row r="25" spans="1:33">
      <c r="A25">
        <v>2005</v>
      </c>
      <c r="B25">
        <v>12</v>
      </c>
      <c r="C25" s="2" t="s">
        <v>226</v>
      </c>
      <c r="D25" s="3">
        <v>43</v>
      </c>
      <c r="E25" s="3">
        <v>48</v>
      </c>
      <c r="F25" s="3">
        <v>9</v>
      </c>
      <c r="G25" s="3">
        <v>34</v>
      </c>
      <c r="H25" s="3">
        <v>11</v>
      </c>
      <c r="I25" s="3">
        <v>84</v>
      </c>
      <c r="J25" s="3">
        <v>5</v>
      </c>
      <c r="K25" s="3">
        <v>6</v>
      </c>
      <c r="L25">
        <v>57</v>
      </c>
      <c r="M25">
        <v>41</v>
      </c>
      <c r="N25">
        <v>2</v>
      </c>
      <c r="O25">
        <v>55</v>
      </c>
      <c r="P25" s="5"/>
      <c r="Q25" s="5"/>
      <c r="R25" s="5"/>
      <c r="S25" s="5"/>
      <c r="T25" s="5"/>
      <c r="U25" s="3">
        <v>3</v>
      </c>
      <c r="V25" s="3">
        <v>94</v>
      </c>
      <c r="W25" s="3">
        <v>3</v>
      </c>
      <c r="X25" s="3">
        <v>0</v>
      </c>
      <c r="Y25">
        <f t="shared" si="0"/>
        <v>13.333333333333334</v>
      </c>
      <c r="Z25">
        <v>55</v>
      </c>
      <c r="AA25">
        <v>24</v>
      </c>
      <c r="AB25">
        <v>21</v>
      </c>
      <c r="AC25">
        <v>34</v>
      </c>
      <c r="AD25">
        <v>7</v>
      </c>
      <c r="AE25">
        <v>89</v>
      </c>
      <c r="AF25">
        <v>4</v>
      </c>
      <c r="AG25">
        <v>3</v>
      </c>
    </row>
    <row r="26" spans="1:33">
      <c r="A26">
        <v>2006</v>
      </c>
      <c r="B26">
        <v>1</v>
      </c>
      <c r="C26" s="2" t="s">
        <v>225</v>
      </c>
      <c r="D26" s="3">
        <v>37</v>
      </c>
      <c r="E26" s="3">
        <v>53</v>
      </c>
      <c r="F26" s="3">
        <v>10</v>
      </c>
      <c r="G26" s="3">
        <v>27</v>
      </c>
      <c r="H26" s="3">
        <v>13</v>
      </c>
      <c r="I26" s="3">
        <v>83</v>
      </c>
      <c r="J26" s="3">
        <v>4</v>
      </c>
      <c r="K26" s="3">
        <v>9</v>
      </c>
      <c r="L26">
        <v>62</v>
      </c>
      <c r="M26">
        <v>36</v>
      </c>
      <c r="N26">
        <v>2</v>
      </c>
      <c r="O26">
        <v>60</v>
      </c>
      <c r="P26" s="5"/>
      <c r="Q26" s="5"/>
      <c r="R26" s="5"/>
      <c r="S26" s="5"/>
      <c r="T26" s="5"/>
      <c r="U26" s="3">
        <v>3</v>
      </c>
      <c r="V26" s="3">
        <v>95</v>
      </c>
      <c r="W26" s="3">
        <v>2</v>
      </c>
      <c r="X26" s="3">
        <v>1</v>
      </c>
      <c r="Y26">
        <f t="shared" si="0"/>
        <v>11.666666666666666</v>
      </c>
      <c r="Z26">
        <v>25</v>
      </c>
      <c r="AA26">
        <v>62</v>
      </c>
      <c r="AB26">
        <v>13</v>
      </c>
      <c r="AC26">
        <v>12</v>
      </c>
      <c r="AD26">
        <v>8</v>
      </c>
      <c r="AE26">
        <v>89</v>
      </c>
      <c r="AF26">
        <v>3</v>
      </c>
      <c r="AG26">
        <v>5</v>
      </c>
    </row>
    <row r="27" spans="1:33">
      <c r="A27">
        <v>2006</v>
      </c>
      <c r="B27">
        <v>2</v>
      </c>
      <c r="C27" s="2" t="s">
        <v>224</v>
      </c>
      <c r="D27" s="3">
        <v>39</v>
      </c>
      <c r="E27" s="3">
        <v>53</v>
      </c>
      <c r="F27" s="3">
        <v>8</v>
      </c>
      <c r="G27" s="3">
        <v>31</v>
      </c>
      <c r="H27" s="3">
        <v>13</v>
      </c>
      <c r="I27" s="3">
        <v>81</v>
      </c>
      <c r="J27" s="3">
        <v>6</v>
      </c>
      <c r="K27" s="3">
        <v>7</v>
      </c>
      <c r="L27">
        <v>58</v>
      </c>
      <c r="M27">
        <v>40</v>
      </c>
      <c r="N27">
        <v>2</v>
      </c>
      <c r="O27">
        <v>56</v>
      </c>
      <c r="P27" s="5"/>
      <c r="Q27" s="5"/>
      <c r="R27" s="5"/>
      <c r="S27" s="5"/>
      <c r="T27" s="5"/>
      <c r="U27" s="3">
        <v>3</v>
      </c>
      <c r="V27" s="3">
        <v>94</v>
      </c>
      <c r="W27" s="3">
        <v>3</v>
      </c>
      <c r="X27" s="3">
        <v>0</v>
      </c>
      <c r="Y27">
        <f t="shared" si="0"/>
        <v>12.666666666666666</v>
      </c>
      <c r="Z27">
        <v>22</v>
      </c>
      <c r="AA27">
        <v>62</v>
      </c>
      <c r="AB27">
        <v>16</v>
      </c>
      <c r="AC27">
        <v>6</v>
      </c>
      <c r="AD27">
        <v>9</v>
      </c>
      <c r="AE27">
        <v>89</v>
      </c>
      <c r="AF27">
        <v>2</v>
      </c>
      <c r="AG27">
        <v>7</v>
      </c>
    </row>
    <row r="28" spans="1:33">
      <c r="A28">
        <v>2006</v>
      </c>
      <c r="B28">
        <v>3</v>
      </c>
      <c r="C28" s="2" t="s">
        <v>223</v>
      </c>
      <c r="D28" s="3">
        <v>43</v>
      </c>
      <c r="E28" s="3">
        <v>54</v>
      </c>
      <c r="F28" s="3">
        <v>3</v>
      </c>
      <c r="G28" s="3">
        <v>40</v>
      </c>
      <c r="H28" s="3">
        <v>11</v>
      </c>
      <c r="I28" s="3">
        <v>79</v>
      </c>
      <c r="J28" s="3">
        <v>10</v>
      </c>
      <c r="K28" s="3">
        <v>1</v>
      </c>
      <c r="L28">
        <v>58</v>
      </c>
      <c r="M28">
        <v>39</v>
      </c>
      <c r="N28">
        <v>3</v>
      </c>
      <c r="O28">
        <v>55</v>
      </c>
      <c r="P28" s="5"/>
      <c r="Q28" s="5"/>
      <c r="R28" s="5"/>
      <c r="S28" s="5"/>
      <c r="T28" s="5"/>
      <c r="U28" s="3">
        <v>2</v>
      </c>
      <c r="V28" s="3">
        <v>95</v>
      </c>
      <c r="W28" s="3">
        <v>3</v>
      </c>
      <c r="X28" s="3">
        <v>-1</v>
      </c>
      <c r="Y28">
        <f t="shared" si="0"/>
        <v>14</v>
      </c>
      <c r="Z28">
        <v>28</v>
      </c>
      <c r="AA28">
        <v>60</v>
      </c>
      <c r="AB28">
        <v>12</v>
      </c>
      <c r="AC28">
        <v>16</v>
      </c>
      <c r="AD28">
        <v>10</v>
      </c>
      <c r="AE28">
        <v>88</v>
      </c>
      <c r="AF28">
        <v>2</v>
      </c>
      <c r="AG28">
        <v>8</v>
      </c>
    </row>
    <row r="29" spans="1:33">
      <c r="A29">
        <v>2006</v>
      </c>
      <c r="B29">
        <v>4</v>
      </c>
      <c r="C29" s="2" t="s">
        <v>222</v>
      </c>
      <c r="D29" s="3">
        <v>71</v>
      </c>
      <c r="E29" s="3">
        <v>26</v>
      </c>
      <c r="F29" s="3">
        <v>3</v>
      </c>
      <c r="G29" s="3">
        <v>68</v>
      </c>
      <c r="H29" s="3">
        <v>12</v>
      </c>
      <c r="I29" s="3">
        <v>74</v>
      </c>
      <c r="J29" s="3">
        <v>14</v>
      </c>
      <c r="K29" s="3">
        <v>-2</v>
      </c>
      <c r="L29">
        <v>63</v>
      </c>
      <c r="M29">
        <v>26</v>
      </c>
      <c r="N29">
        <v>11</v>
      </c>
      <c r="O29">
        <v>52</v>
      </c>
      <c r="P29" s="5"/>
      <c r="Q29" s="5"/>
      <c r="R29" s="5"/>
      <c r="S29" s="5"/>
      <c r="T29" s="5"/>
      <c r="U29" s="3">
        <v>1</v>
      </c>
      <c r="V29" s="3">
        <v>97</v>
      </c>
      <c r="W29" s="3">
        <v>2</v>
      </c>
      <c r="X29" s="3">
        <v>-1</v>
      </c>
      <c r="Y29">
        <f t="shared" si="0"/>
        <v>22.333333333333332</v>
      </c>
      <c r="Z29">
        <v>64</v>
      </c>
      <c r="AA29">
        <v>33</v>
      </c>
      <c r="AB29">
        <v>3</v>
      </c>
      <c r="AC29">
        <v>61</v>
      </c>
      <c r="AD29">
        <v>7</v>
      </c>
      <c r="AE29">
        <v>92</v>
      </c>
      <c r="AF29">
        <v>1</v>
      </c>
      <c r="AG29">
        <v>6</v>
      </c>
    </row>
    <row r="30" spans="1:33">
      <c r="A30">
        <v>2006</v>
      </c>
      <c r="B30">
        <v>5</v>
      </c>
      <c r="C30" s="2" t="s">
        <v>221</v>
      </c>
      <c r="D30" s="3">
        <v>58</v>
      </c>
      <c r="E30" s="3">
        <v>38</v>
      </c>
      <c r="F30" s="3">
        <v>4</v>
      </c>
      <c r="G30" s="3">
        <v>54</v>
      </c>
      <c r="H30" s="3">
        <v>12</v>
      </c>
      <c r="I30" s="3">
        <v>75</v>
      </c>
      <c r="J30" s="3">
        <v>13</v>
      </c>
      <c r="K30" s="3">
        <v>-1</v>
      </c>
      <c r="L30">
        <v>54</v>
      </c>
      <c r="M30">
        <v>35</v>
      </c>
      <c r="N30">
        <v>11</v>
      </c>
      <c r="O30">
        <v>43</v>
      </c>
      <c r="P30" s="5"/>
      <c r="Q30" s="5"/>
      <c r="R30" s="5"/>
      <c r="S30" s="5"/>
      <c r="T30" s="5"/>
      <c r="U30" s="3">
        <v>8</v>
      </c>
      <c r="V30" s="3">
        <v>89</v>
      </c>
      <c r="W30" s="3">
        <v>3</v>
      </c>
      <c r="X30" s="3">
        <v>5</v>
      </c>
      <c r="Y30">
        <f t="shared" si="0"/>
        <v>16</v>
      </c>
      <c r="Z30">
        <v>33</v>
      </c>
      <c r="AA30">
        <v>62</v>
      </c>
      <c r="AB30">
        <v>5</v>
      </c>
      <c r="AC30">
        <v>28</v>
      </c>
      <c r="AD30">
        <v>7</v>
      </c>
      <c r="AE30">
        <v>92</v>
      </c>
      <c r="AF30">
        <v>1</v>
      </c>
      <c r="AG30">
        <v>6</v>
      </c>
    </row>
    <row r="31" spans="1:33">
      <c r="A31">
        <v>2006</v>
      </c>
      <c r="B31">
        <v>6</v>
      </c>
      <c r="C31" s="2" t="s">
        <v>220</v>
      </c>
      <c r="D31" s="3">
        <v>54</v>
      </c>
      <c r="E31" s="3">
        <v>41</v>
      </c>
      <c r="F31" s="3">
        <v>5</v>
      </c>
      <c r="G31" s="3">
        <v>49</v>
      </c>
      <c r="H31" s="3">
        <v>57</v>
      </c>
      <c r="I31" s="3">
        <v>30</v>
      </c>
      <c r="J31" s="3">
        <v>13</v>
      </c>
      <c r="K31" s="3">
        <v>44</v>
      </c>
      <c r="L31">
        <v>58</v>
      </c>
      <c r="M31">
        <v>41</v>
      </c>
      <c r="N31">
        <v>1</v>
      </c>
      <c r="O31">
        <v>57</v>
      </c>
      <c r="P31" s="5"/>
      <c r="Q31" s="5"/>
      <c r="R31" s="5"/>
      <c r="S31" s="5"/>
      <c r="T31" s="5"/>
      <c r="U31" s="3">
        <v>7</v>
      </c>
      <c r="V31" s="3">
        <v>91</v>
      </c>
      <c r="W31" s="3">
        <v>2</v>
      </c>
      <c r="X31" s="3">
        <v>5</v>
      </c>
      <c r="Y31">
        <f t="shared" si="0"/>
        <v>29.333333333333332</v>
      </c>
      <c r="Z31">
        <v>29</v>
      </c>
      <c r="AA31">
        <v>64</v>
      </c>
      <c r="AB31">
        <v>7</v>
      </c>
      <c r="AC31">
        <v>22</v>
      </c>
      <c r="AD31">
        <v>8</v>
      </c>
      <c r="AE31">
        <v>89</v>
      </c>
      <c r="AF31">
        <v>3</v>
      </c>
      <c r="AG31">
        <v>5</v>
      </c>
    </row>
    <row r="32" spans="1:33">
      <c r="A32">
        <v>2006</v>
      </c>
      <c r="B32">
        <v>7</v>
      </c>
      <c r="C32" s="2" t="s">
        <v>219</v>
      </c>
      <c r="D32" s="3">
        <v>59</v>
      </c>
      <c r="E32" s="3">
        <v>37</v>
      </c>
      <c r="F32" s="3">
        <v>4</v>
      </c>
      <c r="G32" s="3">
        <v>55</v>
      </c>
      <c r="H32" s="3">
        <v>60</v>
      </c>
      <c r="I32" s="3">
        <v>27</v>
      </c>
      <c r="J32" s="3">
        <v>13</v>
      </c>
      <c r="K32" s="3">
        <v>47</v>
      </c>
      <c r="L32">
        <v>62</v>
      </c>
      <c r="M32">
        <v>37</v>
      </c>
      <c r="N32">
        <v>1</v>
      </c>
      <c r="O32">
        <v>61</v>
      </c>
      <c r="P32" s="5"/>
      <c r="Q32" s="5"/>
      <c r="R32" s="5"/>
      <c r="S32" s="5"/>
      <c r="T32" s="5"/>
      <c r="U32" s="3">
        <v>2</v>
      </c>
      <c r="V32" s="3">
        <v>82</v>
      </c>
      <c r="W32" s="3">
        <v>16</v>
      </c>
      <c r="X32" s="3">
        <v>-14</v>
      </c>
      <c r="Y32">
        <f t="shared" si="0"/>
        <v>38.666666666666664</v>
      </c>
      <c r="Z32">
        <v>33</v>
      </c>
      <c r="AA32">
        <v>62</v>
      </c>
      <c r="AB32">
        <v>5</v>
      </c>
      <c r="AC32">
        <v>28</v>
      </c>
      <c r="AD32">
        <v>10</v>
      </c>
      <c r="AE32">
        <v>87</v>
      </c>
      <c r="AF32">
        <v>3</v>
      </c>
      <c r="AG32">
        <v>7</v>
      </c>
    </row>
    <row r="33" spans="1:33">
      <c r="A33">
        <v>2006</v>
      </c>
      <c r="B33">
        <v>8</v>
      </c>
      <c r="C33" s="2" t="s">
        <v>218</v>
      </c>
      <c r="D33" s="3">
        <v>56</v>
      </c>
      <c r="E33" s="3">
        <v>41</v>
      </c>
      <c r="F33" s="3">
        <v>3</v>
      </c>
      <c r="G33" s="3">
        <v>53</v>
      </c>
      <c r="H33" s="3">
        <v>56</v>
      </c>
      <c r="I33" s="3">
        <v>41</v>
      </c>
      <c r="J33" s="3">
        <v>3</v>
      </c>
      <c r="K33" s="3">
        <v>53</v>
      </c>
      <c r="L33">
        <v>61</v>
      </c>
      <c r="M33">
        <v>38</v>
      </c>
      <c r="N33">
        <v>1</v>
      </c>
      <c r="O33">
        <v>60</v>
      </c>
      <c r="P33" s="5"/>
      <c r="Q33" s="5"/>
      <c r="R33" s="5"/>
      <c r="S33" s="5"/>
      <c r="T33" s="5"/>
      <c r="U33" s="3">
        <v>3</v>
      </c>
      <c r="V33" s="3">
        <v>81</v>
      </c>
      <c r="W33" s="3">
        <v>16</v>
      </c>
      <c r="X33" s="3">
        <v>-13</v>
      </c>
      <c r="Y33">
        <f t="shared" si="0"/>
        <v>39.666666666666664</v>
      </c>
      <c r="Z33">
        <v>33</v>
      </c>
      <c r="AA33">
        <v>64</v>
      </c>
      <c r="AB33">
        <v>3</v>
      </c>
      <c r="AC33">
        <v>30</v>
      </c>
      <c r="AD33">
        <v>11</v>
      </c>
      <c r="AE33">
        <v>88</v>
      </c>
      <c r="AF33">
        <v>1</v>
      </c>
      <c r="AG33">
        <v>10</v>
      </c>
    </row>
    <row r="34" spans="1:33">
      <c r="A34">
        <v>2006</v>
      </c>
      <c r="B34">
        <v>9</v>
      </c>
      <c r="C34" s="2" t="s">
        <v>217</v>
      </c>
      <c r="D34" s="3">
        <v>56</v>
      </c>
      <c r="E34" s="3">
        <v>39</v>
      </c>
      <c r="F34" s="3">
        <v>5</v>
      </c>
      <c r="G34" s="3">
        <v>51</v>
      </c>
      <c r="H34" s="3">
        <v>59</v>
      </c>
      <c r="I34" s="3">
        <v>37</v>
      </c>
      <c r="J34" s="3">
        <v>4</v>
      </c>
      <c r="K34" s="3">
        <v>55</v>
      </c>
      <c r="L34">
        <v>59</v>
      </c>
      <c r="M34">
        <v>40</v>
      </c>
      <c r="N34">
        <v>1</v>
      </c>
      <c r="O34">
        <v>58</v>
      </c>
      <c r="P34" s="5"/>
      <c r="Q34" s="5"/>
      <c r="R34" s="5"/>
      <c r="S34" s="5"/>
      <c r="T34" s="5"/>
      <c r="U34" s="3">
        <v>2</v>
      </c>
      <c r="V34" s="3">
        <v>95</v>
      </c>
      <c r="W34" s="3">
        <v>3</v>
      </c>
      <c r="X34" s="3">
        <v>-1</v>
      </c>
      <c r="Y34">
        <f t="shared" si="0"/>
        <v>35.666666666666664</v>
      </c>
      <c r="Z34">
        <v>27</v>
      </c>
      <c r="AA34">
        <v>67</v>
      </c>
      <c r="AB34">
        <v>6</v>
      </c>
      <c r="AC34">
        <v>21</v>
      </c>
      <c r="AD34">
        <v>13</v>
      </c>
      <c r="AE34">
        <v>85</v>
      </c>
      <c r="AF34">
        <v>2</v>
      </c>
      <c r="AG34">
        <v>11</v>
      </c>
    </row>
    <row r="35" spans="1:33">
      <c r="A35">
        <v>2006</v>
      </c>
      <c r="B35">
        <v>10</v>
      </c>
      <c r="C35" s="2" t="s">
        <v>216</v>
      </c>
      <c r="D35" s="3">
        <v>57</v>
      </c>
      <c r="E35" s="3">
        <v>38</v>
      </c>
      <c r="F35" s="3">
        <v>5</v>
      </c>
      <c r="G35" s="3">
        <v>52</v>
      </c>
      <c r="H35" s="3">
        <v>54</v>
      </c>
      <c r="I35" s="3">
        <v>41</v>
      </c>
      <c r="J35" s="3">
        <v>5</v>
      </c>
      <c r="K35" s="3">
        <v>49</v>
      </c>
      <c r="L35">
        <v>60</v>
      </c>
      <c r="M35">
        <v>39</v>
      </c>
      <c r="N35">
        <v>1</v>
      </c>
      <c r="O35">
        <v>59</v>
      </c>
      <c r="P35" s="5"/>
      <c r="Q35" s="5"/>
      <c r="R35" s="5"/>
      <c r="S35" s="5"/>
      <c r="T35" s="5"/>
      <c r="U35" s="3">
        <v>2</v>
      </c>
      <c r="V35" s="3">
        <v>94</v>
      </c>
      <c r="W35" s="3">
        <v>4</v>
      </c>
      <c r="X35" s="3">
        <v>-2</v>
      </c>
      <c r="Y35">
        <f t="shared" si="0"/>
        <v>34.333333333333336</v>
      </c>
      <c r="Z35">
        <v>63</v>
      </c>
      <c r="AA35">
        <v>33</v>
      </c>
      <c r="AB35">
        <v>4</v>
      </c>
      <c r="AC35">
        <v>59</v>
      </c>
      <c r="AD35">
        <v>15</v>
      </c>
      <c r="AE35">
        <v>83</v>
      </c>
      <c r="AF35">
        <v>2</v>
      </c>
      <c r="AG35">
        <v>13</v>
      </c>
    </row>
    <row r="36" spans="1:33">
      <c r="A36">
        <v>2006</v>
      </c>
      <c r="B36">
        <v>11</v>
      </c>
      <c r="C36" s="2" t="s">
        <v>215</v>
      </c>
      <c r="D36" s="3">
        <v>68</v>
      </c>
      <c r="E36" s="3">
        <v>27</v>
      </c>
      <c r="F36" s="3">
        <v>5</v>
      </c>
      <c r="G36" s="3">
        <v>63</v>
      </c>
      <c r="H36" s="3">
        <v>57</v>
      </c>
      <c r="I36" s="3">
        <v>40</v>
      </c>
      <c r="J36" s="3">
        <v>3</v>
      </c>
      <c r="K36" s="3">
        <v>54</v>
      </c>
      <c r="L36">
        <v>61</v>
      </c>
      <c r="M36">
        <v>38</v>
      </c>
      <c r="N36">
        <v>1</v>
      </c>
      <c r="O36">
        <v>60</v>
      </c>
      <c r="P36" s="5"/>
      <c r="Q36" s="5"/>
      <c r="R36" s="5"/>
      <c r="S36" s="5"/>
      <c r="T36" s="5"/>
      <c r="U36" s="3">
        <v>2</v>
      </c>
      <c r="V36" s="3">
        <v>94</v>
      </c>
      <c r="W36" s="3">
        <v>4</v>
      </c>
      <c r="X36" s="3">
        <v>-2</v>
      </c>
      <c r="Y36">
        <f t="shared" si="0"/>
        <v>39.666666666666664</v>
      </c>
      <c r="Z36">
        <v>70</v>
      </c>
      <c r="AA36">
        <v>23</v>
      </c>
      <c r="AB36">
        <v>7</v>
      </c>
      <c r="AC36">
        <v>63</v>
      </c>
      <c r="AD36">
        <v>13</v>
      </c>
      <c r="AE36">
        <v>84</v>
      </c>
      <c r="AF36">
        <v>3</v>
      </c>
      <c r="AG36">
        <v>10</v>
      </c>
    </row>
    <row r="37" spans="1:33">
      <c r="A37">
        <v>2006</v>
      </c>
      <c r="B37">
        <v>12</v>
      </c>
      <c r="C37" s="2" t="s">
        <v>214</v>
      </c>
      <c r="D37" s="3">
        <v>60</v>
      </c>
      <c r="E37" s="3">
        <v>35</v>
      </c>
      <c r="F37" s="3">
        <v>5</v>
      </c>
      <c r="G37" s="3">
        <v>55</v>
      </c>
      <c r="H37" s="3">
        <v>58</v>
      </c>
      <c r="I37" s="3">
        <v>30</v>
      </c>
      <c r="J37" s="3">
        <v>12</v>
      </c>
      <c r="K37" s="3">
        <v>46</v>
      </c>
      <c r="L37">
        <v>64</v>
      </c>
      <c r="M37">
        <v>35</v>
      </c>
      <c r="N37">
        <v>1</v>
      </c>
      <c r="O37">
        <v>63</v>
      </c>
      <c r="P37" s="5"/>
      <c r="Q37" s="5"/>
      <c r="R37" s="5"/>
      <c r="S37" s="5"/>
      <c r="T37" s="5"/>
      <c r="U37" s="3">
        <v>2</v>
      </c>
      <c r="V37" s="3">
        <v>95</v>
      </c>
      <c r="W37" s="3">
        <v>3</v>
      </c>
      <c r="X37" s="3">
        <v>-1</v>
      </c>
      <c r="Y37">
        <f t="shared" si="0"/>
        <v>34</v>
      </c>
      <c r="Z37">
        <v>62</v>
      </c>
      <c r="AA37">
        <v>24</v>
      </c>
      <c r="AB37">
        <v>14</v>
      </c>
      <c r="AC37">
        <v>48</v>
      </c>
      <c r="AD37">
        <v>15</v>
      </c>
      <c r="AE37">
        <v>82</v>
      </c>
      <c r="AF37">
        <v>3</v>
      </c>
      <c r="AG37">
        <v>12</v>
      </c>
    </row>
    <row r="38" spans="1:33">
      <c r="A38">
        <v>2007</v>
      </c>
      <c r="B38">
        <v>1</v>
      </c>
      <c r="C38" s="2" t="s">
        <v>213</v>
      </c>
      <c r="D38" s="3">
        <v>48</v>
      </c>
      <c r="E38" s="3">
        <v>35</v>
      </c>
      <c r="F38" s="3">
        <v>17</v>
      </c>
      <c r="G38" s="3">
        <v>31</v>
      </c>
      <c r="H38" s="3">
        <v>73</v>
      </c>
      <c r="I38" s="3">
        <v>25</v>
      </c>
      <c r="J38" s="3">
        <v>2</v>
      </c>
      <c r="K38" s="3">
        <v>71</v>
      </c>
      <c r="L38">
        <v>65</v>
      </c>
      <c r="M38">
        <v>35</v>
      </c>
      <c r="N38">
        <v>0</v>
      </c>
      <c r="O38">
        <v>65</v>
      </c>
      <c r="P38" s="5"/>
      <c r="Q38" s="5"/>
      <c r="R38" s="5"/>
      <c r="S38" s="5"/>
      <c r="T38" s="5"/>
      <c r="U38" s="3">
        <v>3</v>
      </c>
      <c r="V38" s="3">
        <v>94</v>
      </c>
      <c r="W38" s="3">
        <v>3</v>
      </c>
      <c r="X38" s="3">
        <v>0</v>
      </c>
      <c r="Y38">
        <f t="shared" si="0"/>
        <v>34</v>
      </c>
      <c r="Z38">
        <v>18</v>
      </c>
      <c r="AA38">
        <v>63</v>
      </c>
      <c r="AB38">
        <v>19</v>
      </c>
      <c r="AC38">
        <v>-1</v>
      </c>
      <c r="AD38">
        <v>17</v>
      </c>
      <c r="AE38">
        <v>81</v>
      </c>
      <c r="AF38">
        <v>2</v>
      </c>
      <c r="AG38">
        <v>15</v>
      </c>
    </row>
    <row r="39" spans="1:33">
      <c r="A39">
        <v>2007</v>
      </c>
      <c r="B39">
        <v>2</v>
      </c>
      <c r="C39" s="2" t="s">
        <v>212</v>
      </c>
      <c r="D39" s="3">
        <v>50</v>
      </c>
      <c r="E39" s="3">
        <v>45</v>
      </c>
      <c r="F39" s="3">
        <v>5</v>
      </c>
      <c r="G39" s="3">
        <v>45</v>
      </c>
      <c r="H39" s="3">
        <v>69</v>
      </c>
      <c r="I39" s="3">
        <v>27</v>
      </c>
      <c r="J39" s="3">
        <v>4</v>
      </c>
      <c r="K39" s="3">
        <v>65</v>
      </c>
      <c r="L39">
        <v>63</v>
      </c>
      <c r="M39">
        <v>36</v>
      </c>
      <c r="N39">
        <v>1</v>
      </c>
      <c r="O39">
        <v>62</v>
      </c>
      <c r="P39" s="5"/>
      <c r="Q39" s="5"/>
      <c r="R39" s="5"/>
      <c r="S39" s="5"/>
      <c r="T39" s="5"/>
      <c r="U39" s="3">
        <v>17</v>
      </c>
      <c r="V39" s="3">
        <v>80</v>
      </c>
      <c r="W39" s="3">
        <v>3</v>
      </c>
      <c r="X39" s="3">
        <v>14</v>
      </c>
      <c r="Y39">
        <f t="shared" si="0"/>
        <v>32</v>
      </c>
      <c r="Z39">
        <v>24</v>
      </c>
      <c r="AA39">
        <v>71</v>
      </c>
      <c r="AB39">
        <v>5</v>
      </c>
      <c r="AC39">
        <v>19</v>
      </c>
      <c r="AD39">
        <v>19</v>
      </c>
      <c r="AE39">
        <v>80</v>
      </c>
      <c r="AF39">
        <v>1</v>
      </c>
      <c r="AG39">
        <v>18</v>
      </c>
    </row>
    <row r="40" spans="1:33">
      <c r="A40">
        <v>2007</v>
      </c>
      <c r="B40">
        <v>3</v>
      </c>
      <c r="C40" s="2" t="s">
        <v>211</v>
      </c>
      <c r="D40" s="3">
        <v>63</v>
      </c>
      <c r="E40" s="3">
        <v>35</v>
      </c>
      <c r="F40" s="3">
        <v>2</v>
      </c>
      <c r="G40" s="3">
        <v>61</v>
      </c>
      <c r="H40" s="3">
        <v>54</v>
      </c>
      <c r="I40" s="3">
        <v>31</v>
      </c>
      <c r="J40" s="3">
        <v>15</v>
      </c>
      <c r="K40" s="3">
        <v>39</v>
      </c>
      <c r="L40">
        <v>60</v>
      </c>
      <c r="M40">
        <v>39</v>
      </c>
      <c r="N40">
        <v>1</v>
      </c>
      <c r="O40">
        <v>59</v>
      </c>
      <c r="P40" s="5"/>
      <c r="Q40" s="5"/>
      <c r="R40" s="5"/>
      <c r="S40" s="5"/>
      <c r="T40" s="5"/>
      <c r="U40" s="3">
        <v>4</v>
      </c>
      <c r="V40" s="3">
        <v>93</v>
      </c>
      <c r="W40" s="3">
        <v>3</v>
      </c>
      <c r="X40" s="3">
        <v>1</v>
      </c>
      <c r="Y40">
        <f t="shared" si="0"/>
        <v>33</v>
      </c>
      <c r="Z40">
        <v>63</v>
      </c>
      <c r="AA40">
        <v>32</v>
      </c>
      <c r="AB40">
        <v>5</v>
      </c>
      <c r="AC40">
        <v>58</v>
      </c>
      <c r="AD40">
        <v>20</v>
      </c>
      <c r="AE40">
        <v>78</v>
      </c>
      <c r="AF40">
        <v>2</v>
      </c>
      <c r="AG40">
        <v>18</v>
      </c>
    </row>
    <row r="41" spans="1:33">
      <c r="A41">
        <v>2007</v>
      </c>
      <c r="B41">
        <v>4</v>
      </c>
      <c r="C41" s="2" t="s">
        <v>210</v>
      </c>
      <c r="D41" s="3">
        <v>66</v>
      </c>
      <c r="E41" s="3">
        <v>31</v>
      </c>
      <c r="F41" s="3">
        <v>3</v>
      </c>
      <c r="G41" s="3">
        <v>63</v>
      </c>
      <c r="H41" s="3">
        <v>66</v>
      </c>
      <c r="I41" s="3">
        <v>29</v>
      </c>
      <c r="J41" s="3">
        <v>5</v>
      </c>
      <c r="K41" s="3">
        <v>61</v>
      </c>
      <c r="L41">
        <v>59</v>
      </c>
      <c r="M41">
        <v>40</v>
      </c>
      <c r="N41">
        <v>1</v>
      </c>
      <c r="O41">
        <v>58</v>
      </c>
      <c r="P41" s="5"/>
      <c r="Q41" s="5"/>
      <c r="R41" s="5"/>
      <c r="S41" s="5"/>
      <c r="T41" s="5"/>
      <c r="U41" s="3">
        <v>2</v>
      </c>
      <c r="V41" s="3">
        <v>94</v>
      </c>
      <c r="W41" s="3">
        <v>4</v>
      </c>
      <c r="X41" s="3">
        <v>-2</v>
      </c>
      <c r="Y41">
        <f t="shared" si="0"/>
        <v>42</v>
      </c>
      <c r="Z41">
        <v>36</v>
      </c>
      <c r="AA41">
        <v>59</v>
      </c>
      <c r="AB41">
        <v>5</v>
      </c>
      <c r="AC41">
        <v>31</v>
      </c>
      <c r="AD41">
        <v>20</v>
      </c>
      <c r="AE41">
        <v>79</v>
      </c>
      <c r="AF41">
        <v>1</v>
      </c>
      <c r="AG41">
        <v>19</v>
      </c>
    </row>
    <row r="42" spans="1:33">
      <c r="A42">
        <v>2007</v>
      </c>
      <c r="B42">
        <v>5</v>
      </c>
      <c r="C42" s="2" t="s">
        <v>209</v>
      </c>
      <c r="D42" s="3">
        <v>25</v>
      </c>
      <c r="E42" s="3">
        <v>62</v>
      </c>
      <c r="F42" s="3">
        <v>13</v>
      </c>
      <c r="G42" s="3">
        <v>12</v>
      </c>
      <c r="H42" s="3">
        <v>65</v>
      </c>
      <c r="I42" s="3">
        <v>31</v>
      </c>
      <c r="J42" s="3">
        <v>4</v>
      </c>
      <c r="K42" s="3">
        <v>61</v>
      </c>
      <c r="L42">
        <v>61</v>
      </c>
      <c r="M42">
        <v>37</v>
      </c>
      <c r="N42">
        <v>2</v>
      </c>
      <c r="O42">
        <v>59</v>
      </c>
      <c r="P42" s="5"/>
      <c r="Q42" s="5"/>
      <c r="R42" s="5"/>
      <c r="S42" s="5"/>
      <c r="T42" s="5"/>
      <c r="U42" s="3">
        <v>4</v>
      </c>
      <c r="V42" s="3">
        <v>92</v>
      </c>
      <c r="W42" s="3">
        <v>4</v>
      </c>
      <c r="X42" s="3">
        <v>0</v>
      </c>
      <c r="Y42">
        <f t="shared" si="0"/>
        <v>24.333333333333332</v>
      </c>
      <c r="Z42">
        <v>21</v>
      </c>
      <c r="AA42">
        <v>72</v>
      </c>
      <c r="AB42">
        <v>7</v>
      </c>
      <c r="AC42">
        <v>14</v>
      </c>
      <c r="AD42">
        <v>19</v>
      </c>
      <c r="AE42">
        <v>79</v>
      </c>
      <c r="AF42">
        <v>2</v>
      </c>
      <c r="AG42">
        <v>17</v>
      </c>
    </row>
    <row r="43" spans="1:33">
      <c r="A43">
        <v>2007</v>
      </c>
      <c r="B43">
        <v>6</v>
      </c>
      <c r="C43" s="2" t="s">
        <v>208</v>
      </c>
      <c r="D43" s="3">
        <v>27</v>
      </c>
      <c r="E43" s="3">
        <v>70</v>
      </c>
      <c r="F43" s="3">
        <v>3</v>
      </c>
      <c r="G43" s="3">
        <v>24</v>
      </c>
      <c r="H43" s="3">
        <v>64</v>
      </c>
      <c r="I43" s="3">
        <v>33</v>
      </c>
      <c r="J43" s="3">
        <v>3</v>
      </c>
      <c r="K43" s="3">
        <v>61</v>
      </c>
      <c r="L43">
        <v>60</v>
      </c>
      <c r="M43">
        <v>39</v>
      </c>
      <c r="N43">
        <v>1</v>
      </c>
      <c r="O43">
        <v>59</v>
      </c>
      <c r="P43" s="5"/>
      <c r="Q43" s="5"/>
      <c r="R43" s="5"/>
      <c r="S43" s="5"/>
      <c r="T43" s="5"/>
      <c r="U43" s="3">
        <v>3</v>
      </c>
      <c r="V43" s="3">
        <v>92</v>
      </c>
      <c r="W43" s="3">
        <v>5</v>
      </c>
      <c r="X43" s="3">
        <v>-2</v>
      </c>
      <c r="Y43">
        <f t="shared" si="0"/>
        <v>29</v>
      </c>
      <c r="Z43">
        <v>25</v>
      </c>
      <c r="AA43">
        <v>70</v>
      </c>
      <c r="AB43">
        <v>5</v>
      </c>
      <c r="AC43">
        <v>20</v>
      </c>
      <c r="AD43">
        <v>24</v>
      </c>
      <c r="AE43">
        <v>74</v>
      </c>
      <c r="AF43">
        <v>2</v>
      </c>
      <c r="AG43">
        <v>22</v>
      </c>
    </row>
    <row r="44" spans="1:33">
      <c r="A44">
        <v>2007</v>
      </c>
      <c r="B44">
        <v>7</v>
      </c>
      <c r="C44" s="2" t="s">
        <v>207</v>
      </c>
      <c r="D44" s="3">
        <v>51</v>
      </c>
      <c r="E44" s="3">
        <v>46</v>
      </c>
      <c r="F44" s="3">
        <v>3</v>
      </c>
      <c r="G44" s="3">
        <v>48</v>
      </c>
      <c r="H44" s="3">
        <v>66</v>
      </c>
      <c r="I44" s="3">
        <v>31</v>
      </c>
      <c r="J44" s="3">
        <v>3</v>
      </c>
      <c r="K44" s="3">
        <v>63</v>
      </c>
      <c r="L44">
        <v>73</v>
      </c>
      <c r="M44">
        <v>26</v>
      </c>
      <c r="N44">
        <v>1</v>
      </c>
      <c r="O44">
        <v>72</v>
      </c>
      <c r="P44" s="5"/>
      <c r="Q44" s="5"/>
      <c r="R44" s="5"/>
      <c r="S44" s="5"/>
      <c r="T44" s="5"/>
      <c r="U44" s="3">
        <v>3</v>
      </c>
      <c r="V44" s="3">
        <v>93</v>
      </c>
      <c r="W44" s="3">
        <v>4</v>
      </c>
      <c r="X44" s="3">
        <v>-1</v>
      </c>
      <c r="Y44">
        <f t="shared" si="0"/>
        <v>37.333333333333336</v>
      </c>
      <c r="Z44">
        <v>22</v>
      </c>
      <c r="AA44">
        <v>73</v>
      </c>
      <c r="AB44">
        <v>5</v>
      </c>
      <c r="AC44">
        <v>17</v>
      </c>
      <c r="AD44">
        <v>20</v>
      </c>
      <c r="AE44">
        <v>78</v>
      </c>
      <c r="AF44">
        <v>2</v>
      </c>
      <c r="AG44">
        <v>18</v>
      </c>
    </row>
    <row r="45" spans="1:33">
      <c r="A45">
        <v>2007</v>
      </c>
      <c r="B45">
        <v>8</v>
      </c>
      <c r="C45" s="2" t="s">
        <v>206</v>
      </c>
      <c r="D45" s="3">
        <v>56</v>
      </c>
      <c r="E45" s="3">
        <v>41</v>
      </c>
      <c r="F45" s="3">
        <v>3</v>
      </c>
      <c r="G45" s="3">
        <v>53</v>
      </c>
      <c r="H45" s="3">
        <v>27</v>
      </c>
      <c r="I45" s="3">
        <v>69</v>
      </c>
      <c r="J45" s="3">
        <v>4</v>
      </c>
      <c r="K45" s="3">
        <v>23</v>
      </c>
      <c r="L45">
        <v>61</v>
      </c>
      <c r="M45">
        <v>37</v>
      </c>
      <c r="N45">
        <v>2</v>
      </c>
      <c r="O45">
        <v>59</v>
      </c>
      <c r="P45" s="5"/>
      <c r="Q45" s="5"/>
      <c r="R45" s="5"/>
      <c r="S45" s="5"/>
      <c r="T45" s="5"/>
      <c r="U45" s="3">
        <v>2</v>
      </c>
      <c r="V45" s="3">
        <v>94</v>
      </c>
      <c r="W45" s="3">
        <v>4</v>
      </c>
      <c r="X45" s="3">
        <v>-2</v>
      </c>
      <c r="Y45">
        <f t="shared" si="0"/>
        <v>26</v>
      </c>
      <c r="Z45">
        <v>24</v>
      </c>
      <c r="AA45">
        <v>73</v>
      </c>
      <c r="AB45">
        <v>3</v>
      </c>
      <c r="AC45">
        <v>21</v>
      </c>
      <c r="AD45">
        <v>39</v>
      </c>
      <c r="AE45">
        <v>60</v>
      </c>
      <c r="AF45">
        <v>1</v>
      </c>
      <c r="AG45">
        <v>38</v>
      </c>
    </row>
    <row r="46" spans="1:33">
      <c r="A46">
        <v>2007</v>
      </c>
      <c r="B46">
        <v>9</v>
      </c>
      <c r="C46" s="2" t="s">
        <v>205</v>
      </c>
      <c r="D46" s="3">
        <v>55</v>
      </c>
      <c r="E46" s="3">
        <v>42</v>
      </c>
      <c r="F46" s="3">
        <v>3</v>
      </c>
      <c r="G46" s="3">
        <v>52</v>
      </c>
      <c r="H46" s="3">
        <v>37</v>
      </c>
      <c r="I46" s="3">
        <v>59</v>
      </c>
      <c r="J46" s="3">
        <v>4</v>
      </c>
      <c r="K46" s="3">
        <v>33</v>
      </c>
      <c r="L46">
        <v>64</v>
      </c>
      <c r="M46">
        <v>35</v>
      </c>
      <c r="N46">
        <v>1</v>
      </c>
      <c r="O46">
        <v>63</v>
      </c>
      <c r="P46" s="5"/>
      <c r="Q46" s="5"/>
      <c r="R46" s="5"/>
      <c r="S46" s="5"/>
      <c r="T46" s="5"/>
      <c r="U46" s="3">
        <v>2</v>
      </c>
      <c r="V46" s="3">
        <v>95</v>
      </c>
      <c r="W46" s="3">
        <v>3</v>
      </c>
      <c r="X46" s="3">
        <v>-1</v>
      </c>
      <c r="Y46">
        <f t="shared" si="0"/>
        <v>28.666666666666668</v>
      </c>
      <c r="Z46">
        <v>56</v>
      </c>
      <c r="AA46">
        <v>41</v>
      </c>
      <c r="AB46">
        <v>3</v>
      </c>
      <c r="AC46">
        <v>53</v>
      </c>
      <c r="AD46">
        <v>31</v>
      </c>
      <c r="AE46">
        <v>68</v>
      </c>
      <c r="AF46">
        <v>1</v>
      </c>
      <c r="AG46">
        <v>30</v>
      </c>
    </row>
    <row r="47" spans="1:33">
      <c r="A47">
        <v>2007</v>
      </c>
      <c r="B47">
        <v>10</v>
      </c>
      <c r="C47" s="2" t="s">
        <v>204</v>
      </c>
      <c r="D47" s="3">
        <v>32</v>
      </c>
      <c r="E47" s="3">
        <v>64</v>
      </c>
      <c r="F47" s="3">
        <v>4</v>
      </c>
      <c r="G47" s="3">
        <v>28</v>
      </c>
      <c r="H47" s="3">
        <v>66</v>
      </c>
      <c r="I47" s="3">
        <v>31</v>
      </c>
      <c r="J47" s="3">
        <v>3</v>
      </c>
      <c r="K47" s="3">
        <v>63</v>
      </c>
      <c r="L47">
        <v>64</v>
      </c>
      <c r="M47">
        <v>35</v>
      </c>
      <c r="N47">
        <v>1</v>
      </c>
      <c r="O47">
        <v>63</v>
      </c>
      <c r="P47" s="5"/>
      <c r="Q47" s="5"/>
      <c r="R47" s="5"/>
      <c r="S47" s="5"/>
      <c r="T47" s="5"/>
      <c r="U47" s="3">
        <v>2</v>
      </c>
      <c r="V47" s="3">
        <v>94</v>
      </c>
      <c r="W47" s="3">
        <v>4</v>
      </c>
      <c r="X47" s="3">
        <v>-2</v>
      </c>
      <c r="Y47">
        <f t="shared" si="0"/>
        <v>31</v>
      </c>
      <c r="Z47">
        <v>54</v>
      </c>
      <c r="AA47">
        <v>40</v>
      </c>
      <c r="AB47">
        <v>6</v>
      </c>
      <c r="AC47">
        <v>48</v>
      </c>
      <c r="AD47">
        <v>40</v>
      </c>
      <c r="AE47">
        <v>59</v>
      </c>
      <c r="AF47">
        <v>1</v>
      </c>
      <c r="AG47">
        <v>39</v>
      </c>
    </row>
    <row r="48" spans="1:33">
      <c r="A48">
        <v>2007</v>
      </c>
      <c r="B48">
        <v>11</v>
      </c>
      <c r="C48" s="2" t="s">
        <v>203</v>
      </c>
      <c r="D48" s="3">
        <v>55</v>
      </c>
      <c r="E48" s="3">
        <v>39</v>
      </c>
      <c r="F48" s="3">
        <v>6</v>
      </c>
      <c r="G48" s="3">
        <v>49</v>
      </c>
      <c r="H48" s="3">
        <v>71</v>
      </c>
      <c r="I48" s="3">
        <v>26</v>
      </c>
      <c r="J48" s="3">
        <v>3</v>
      </c>
      <c r="K48" s="3">
        <v>68</v>
      </c>
      <c r="L48">
        <v>60</v>
      </c>
      <c r="M48">
        <v>39</v>
      </c>
      <c r="N48">
        <v>1</v>
      </c>
      <c r="O48">
        <v>59</v>
      </c>
      <c r="U48" s="3">
        <v>2</v>
      </c>
      <c r="V48" s="3">
        <v>95</v>
      </c>
      <c r="W48" s="3">
        <v>3</v>
      </c>
      <c r="X48" s="3">
        <v>-1</v>
      </c>
      <c r="Y48">
        <f t="shared" si="0"/>
        <v>39.333333333333336</v>
      </c>
      <c r="Z48">
        <v>55</v>
      </c>
      <c r="AA48">
        <v>36</v>
      </c>
      <c r="AB48">
        <v>9</v>
      </c>
      <c r="AC48">
        <v>46</v>
      </c>
      <c r="AD48">
        <v>39</v>
      </c>
      <c r="AE48">
        <v>30</v>
      </c>
      <c r="AF48">
        <v>31</v>
      </c>
      <c r="AG48">
        <v>8</v>
      </c>
    </row>
    <row r="49" spans="1:33">
      <c r="A49">
        <v>2007</v>
      </c>
      <c r="B49">
        <v>12</v>
      </c>
      <c r="C49" s="2" t="s">
        <v>202</v>
      </c>
      <c r="D49" s="3">
        <v>41</v>
      </c>
      <c r="E49" s="3">
        <v>51</v>
      </c>
      <c r="F49" s="3">
        <v>8</v>
      </c>
      <c r="G49" s="3">
        <v>33</v>
      </c>
      <c r="H49" s="3">
        <v>40</v>
      </c>
      <c r="I49" s="3">
        <v>54</v>
      </c>
      <c r="J49" s="3">
        <v>6</v>
      </c>
      <c r="K49" s="3">
        <v>34</v>
      </c>
      <c r="L49">
        <v>60</v>
      </c>
      <c r="M49">
        <v>39</v>
      </c>
      <c r="N49">
        <v>1</v>
      </c>
      <c r="O49">
        <v>59</v>
      </c>
      <c r="U49" s="3">
        <v>2</v>
      </c>
      <c r="V49" s="3">
        <v>96</v>
      </c>
      <c r="W49" s="3">
        <v>2</v>
      </c>
      <c r="X49" s="3">
        <v>0</v>
      </c>
      <c r="Y49">
        <f t="shared" si="0"/>
        <v>22.333333333333332</v>
      </c>
      <c r="Z49">
        <v>20</v>
      </c>
      <c r="AA49">
        <v>64</v>
      </c>
      <c r="AB49">
        <v>16</v>
      </c>
      <c r="AC49">
        <v>4</v>
      </c>
      <c r="AD49">
        <v>39</v>
      </c>
      <c r="AE49">
        <v>26</v>
      </c>
      <c r="AF49">
        <v>35</v>
      </c>
      <c r="AG49">
        <v>4</v>
      </c>
    </row>
    <row r="50" spans="1:33">
      <c r="A50">
        <v>2008</v>
      </c>
      <c r="B50">
        <v>1</v>
      </c>
      <c r="C50" s="2" t="s">
        <v>201</v>
      </c>
      <c r="D50" s="3">
        <v>39</v>
      </c>
      <c r="E50" s="3">
        <v>42</v>
      </c>
      <c r="F50" s="3">
        <v>19</v>
      </c>
      <c r="G50" s="3">
        <v>20</v>
      </c>
      <c r="H50" s="3">
        <v>47</v>
      </c>
      <c r="I50" s="3">
        <v>48</v>
      </c>
      <c r="J50" s="3">
        <v>5</v>
      </c>
      <c r="K50" s="3">
        <v>42</v>
      </c>
      <c r="L50">
        <v>63</v>
      </c>
      <c r="M50">
        <v>36</v>
      </c>
      <c r="N50">
        <v>1</v>
      </c>
      <c r="O50">
        <v>62</v>
      </c>
      <c r="U50" s="3">
        <v>3</v>
      </c>
      <c r="V50" s="3">
        <v>94</v>
      </c>
      <c r="W50" s="3">
        <v>3</v>
      </c>
      <c r="X50" s="3">
        <v>0</v>
      </c>
      <c r="Y50">
        <f t="shared" si="0"/>
        <v>20.666666666666668</v>
      </c>
      <c r="Z50">
        <v>24</v>
      </c>
      <c r="AA50">
        <v>31</v>
      </c>
      <c r="AB50">
        <v>45</v>
      </c>
      <c r="AC50">
        <v>-21</v>
      </c>
      <c r="AD50">
        <v>35</v>
      </c>
      <c r="AE50">
        <v>62</v>
      </c>
      <c r="AF50">
        <v>3</v>
      </c>
      <c r="AG50">
        <v>32</v>
      </c>
    </row>
    <row r="51" spans="1:33">
      <c r="A51">
        <v>2008</v>
      </c>
      <c r="B51">
        <v>2</v>
      </c>
      <c r="C51" s="2" t="s">
        <v>200</v>
      </c>
      <c r="D51" s="3">
        <v>45</v>
      </c>
      <c r="E51" s="3">
        <v>40</v>
      </c>
      <c r="F51" s="3">
        <v>15</v>
      </c>
      <c r="G51" s="3">
        <v>30</v>
      </c>
      <c r="H51" s="3">
        <v>45</v>
      </c>
      <c r="I51" s="3">
        <v>45</v>
      </c>
      <c r="J51" s="3">
        <v>10</v>
      </c>
      <c r="K51" s="3">
        <v>35</v>
      </c>
      <c r="L51">
        <v>59</v>
      </c>
      <c r="M51">
        <v>38</v>
      </c>
      <c r="N51">
        <v>3</v>
      </c>
      <c r="O51">
        <v>56</v>
      </c>
      <c r="U51" s="3">
        <v>7</v>
      </c>
      <c r="V51" s="3">
        <v>90</v>
      </c>
      <c r="W51" s="3">
        <v>3</v>
      </c>
      <c r="X51" s="3">
        <v>4</v>
      </c>
      <c r="Y51">
        <f t="shared" si="0"/>
        <v>20.333333333333332</v>
      </c>
      <c r="Z51">
        <v>29</v>
      </c>
      <c r="AA51">
        <v>40</v>
      </c>
      <c r="AB51">
        <v>31</v>
      </c>
      <c r="AC51">
        <v>-2</v>
      </c>
      <c r="AD51">
        <v>33</v>
      </c>
      <c r="AE51">
        <v>64</v>
      </c>
      <c r="AF51">
        <v>3</v>
      </c>
      <c r="AG51">
        <v>30</v>
      </c>
    </row>
    <row r="52" spans="1:33">
      <c r="A52">
        <v>2008</v>
      </c>
      <c r="B52">
        <v>3</v>
      </c>
      <c r="C52" s="2" t="s">
        <v>199</v>
      </c>
      <c r="D52" s="3">
        <v>44</v>
      </c>
      <c r="E52" s="3">
        <v>51</v>
      </c>
      <c r="F52" s="3">
        <v>5</v>
      </c>
      <c r="G52" s="3">
        <v>39</v>
      </c>
      <c r="H52" s="3">
        <v>35</v>
      </c>
      <c r="I52" s="3">
        <v>47</v>
      </c>
      <c r="J52" s="3">
        <v>18</v>
      </c>
      <c r="K52" s="3">
        <v>17</v>
      </c>
      <c r="L52">
        <v>56</v>
      </c>
      <c r="M52">
        <v>34</v>
      </c>
      <c r="N52">
        <v>10</v>
      </c>
      <c r="O52">
        <v>46</v>
      </c>
      <c r="U52" s="3">
        <v>6</v>
      </c>
      <c r="V52" s="3">
        <v>91</v>
      </c>
      <c r="W52" s="3">
        <v>3</v>
      </c>
      <c r="X52" s="3">
        <v>3</v>
      </c>
      <c r="Y52">
        <f t="shared" si="0"/>
        <v>17.666666666666668</v>
      </c>
      <c r="Z52">
        <v>26</v>
      </c>
      <c r="AA52">
        <v>67</v>
      </c>
      <c r="AB52">
        <v>7</v>
      </c>
      <c r="AC52">
        <v>19</v>
      </c>
      <c r="AD52">
        <v>35</v>
      </c>
      <c r="AE52">
        <v>63</v>
      </c>
      <c r="AF52">
        <v>2</v>
      </c>
      <c r="AG52">
        <v>33</v>
      </c>
    </row>
    <row r="53" spans="1:33">
      <c r="A53">
        <v>2008</v>
      </c>
      <c r="B53">
        <v>4</v>
      </c>
      <c r="C53" s="2" t="s">
        <v>198</v>
      </c>
      <c r="D53" s="3">
        <v>41</v>
      </c>
      <c r="E53" s="3">
        <v>53</v>
      </c>
      <c r="F53" s="3">
        <v>6</v>
      </c>
      <c r="G53" s="3">
        <v>35</v>
      </c>
      <c r="H53" s="3">
        <v>36</v>
      </c>
      <c r="I53" s="3">
        <v>44</v>
      </c>
      <c r="J53" s="3">
        <v>20</v>
      </c>
      <c r="K53" s="3">
        <v>16</v>
      </c>
      <c r="L53">
        <v>55</v>
      </c>
      <c r="M53">
        <v>41</v>
      </c>
      <c r="N53">
        <v>4</v>
      </c>
      <c r="O53">
        <v>51</v>
      </c>
      <c r="U53" s="3">
        <v>5</v>
      </c>
      <c r="V53" s="3">
        <v>91</v>
      </c>
      <c r="W53" s="3">
        <v>4</v>
      </c>
      <c r="X53" s="3">
        <v>1</v>
      </c>
      <c r="Y53">
        <f t="shared" si="0"/>
        <v>16.666666666666668</v>
      </c>
      <c r="Z53">
        <v>23</v>
      </c>
      <c r="AA53">
        <v>67</v>
      </c>
      <c r="AB53">
        <v>10</v>
      </c>
      <c r="AC53">
        <v>13</v>
      </c>
      <c r="AD53">
        <v>39</v>
      </c>
      <c r="AE53">
        <v>58</v>
      </c>
      <c r="AF53">
        <v>3</v>
      </c>
      <c r="AG53">
        <v>36</v>
      </c>
    </row>
    <row r="54" spans="1:33">
      <c r="A54">
        <v>2008</v>
      </c>
      <c r="B54">
        <v>5</v>
      </c>
      <c r="C54" s="2" t="s">
        <v>197</v>
      </c>
      <c r="D54" s="3">
        <v>48</v>
      </c>
      <c r="E54" s="3">
        <v>45</v>
      </c>
      <c r="F54" s="3">
        <v>7</v>
      </c>
      <c r="G54" s="3">
        <v>41</v>
      </c>
      <c r="H54" s="3">
        <v>35</v>
      </c>
      <c r="I54" s="3">
        <v>52</v>
      </c>
      <c r="J54" s="3">
        <v>13</v>
      </c>
      <c r="K54" s="3">
        <v>22</v>
      </c>
      <c r="L54">
        <v>53</v>
      </c>
      <c r="M54">
        <v>42</v>
      </c>
      <c r="N54">
        <v>5</v>
      </c>
      <c r="O54">
        <v>48</v>
      </c>
      <c r="U54" s="3">
        <v>7</v>
      </c>
      <c r="V54" s="3">
        <v>91</v>
      </c>
      <c r="W54" s="3">
        <v>2</v>
      </c>
      <c r="X54" s="3">
        <v>5</v>
      </c>
      <c r="Y54">
        <f t="shared" si="0"/>
        <v>19.333333333333332</v>
      </c>
      <c r="Z54">
        <v>19</v>
      </c>
      <c r="AA54">
        <v>68</v>
      </c>
      <c r="AB54">
        <v>13</v>
      </c>
      <c r="AC54">
        <v>6</v>
      </c>
      <c r="AD54">
        <v>29</v>
      </c>
      <c r="AE54">
        <v>67</v>
      </c>
      <c r="AF54">
        <v>4</v>
      </c>
      <c r="AG54">
        <v>25</v>
      </c>
    </row>
    <row r="55" spans="1:33">
      <c r="A55">
        <v>2008</v>
      </c>
      <c r="B55">
        <v>6</v>
      </c>
      <c r="C55" s="2" t="s">
        <v>196</v>
      </c>
      <c r="D55" s="3">
        <v>33</v>
      </c>
      <c r="E55" s="3">
        <v>56</v>
      </c>
      <c r="F55" s="3">
        <v>11</v>
      </c>
      <c r="G55" s="3">
        <v>22</v>
      </c>
      <c r="H55" s="3">
        <v>30</v>
      </c>
      <c r="I55" s="3">
        <v>54</v>
      </c>
      <c r="J55" s="3">
        <v>16</v>
      </c>
      <c r="K55" s="3">
        <v>14</v>
      </c>
      <c r="L55">
        <v>50</v>
      </c>
      <c r="M55">
        <v>45</v>
      </c>
      <c r="N55">
        <v>5</v>
      </c>
      <c r="O55">
        <v>45</v>
      </c>
      <c r="U55" s="3">
        <v>8</v>
      </c>
      <c r="V55" s="3">
        <v>90</v>
      </c>
      <c r="W55" s="3">
        <v>2</v>
      </c>
      <c r="X55" s="3">
        <v>6</v>
      </c>
      <c r="Y55">
        <f t="shared" si="0"/>
        <v>10</v>
      </c>
      <c r="Z55">
        <v>17</v>
      </c>
      <c r="AA55">
        <v>65</v>
      </c>
      <c r="AB55">
        <v>18</v>
      </c>
      <c r="AC55">
        <v>-1</v>
      </c>
      <c r="AD55">
        <v>28</v>
      </c>
      <c r="AE55">
        <v>67</v>
      </c>
      <c r="AF55">
        <v>5</v>
      </c>
      <c r="AG55">
        <v>23</v>
      </c>
    </row>
    <row r="56" spans="1:33">
      <c r="A56">
        <v>2008</v>
      </c>
      <c r="B56">
        <v>7</v>
      </c>
      <c r="C56" s="2" t="s">
        <v>195</v>
      </c>
      <c r="D56" s="3">
        <v>34</v>
      </c>
      <c r="E56" s="3">
        <v>53</v>
      </c>
      <c r="F56" s="3">
        <v>13</v>
      </c>
      <c r="G56" s="3">
        <v>21</v>
      </c>
      <c r="H56" s="3">
        <v>43</v>
      </c>
      <c r="I56" s="3">
        <v>39</v>
      </c>
      <c r="J56" s="3">
        <v>18</v>
      </c>
      <c r="K56" s="3">
        <v>25</v>
      </c>
      <c r="L56">
        <v>48</v>
      </c>
      <c r="M56">
        <v>46</v>
      </c>
      <c r="N56">
        <v>6</v>
      </c>
      <c r="O56">
        <v>42</v>
      </c>
      <c r="U56" s="3">
        <v>8</v>
      </c>
      <c r="V56" s="3">
        <v>89</v>
      </c>
      <c r="W56" s="3">
        <v>3</v>
      </c>
      <c r="X56" s="3">
        <v>5</v>
      </c>
      <c r="Y56">
        <f t="shared" si="0"/>
        <v>13.666666666666666</v>
      </c>
      <c r="Z56">
        <v>16</v>
      </c>
      <c r="AA56">
        <v>69</v>
      </c>
      <c r="AB56">
        <v>15</v>
      </c>
      <c r="AC56">
        <v>1</v>
      </c>
      <c r="AD56">
        <v>31</v>
      </c>
      <c r="AE56">
        <v>64</v>
      </c>
      <c r="AF56">
        <v>5</v>
      </c>
      <c r="AG56">
        <v>26</v>
      </c>
    </row>
    <row r="57" spans="1:33">
      <c r="A57">
        <v>2008</v>
      </c>
      <c r="B57">
        <v>8</v>
      </c>
      <c r="C57" s="2" t="s">
        <v>194</v>
      </c>
      <c r="D57" s="3">
        <v>38</v>
      </c>
      <c r="E57" s="3">
        <v>44</v>
      </c>
      <c r="F57" s="3">
        <v>18</v>
      </c>
      <c r="G57" s="3">
        <v>20</v>
      </c>
      <c r="H57" s="3">
        <v>35</v>
      </c>
      <c r="I57" s="3">
        <v>50</v>
      </c>
      <c r="J57" s="3">
        <v>15</v>
      </c>
      <c r="K57" s="3">
        <v>20</v>
      </c>
      <c r="L57">
        <v>50</v>
      </c>
      <c r="M57">
        <v>44</v>
      </c>
      <c r="N57">
        <v>6</v>
      </c>
      <c r="O57">
        <v>44</v>
      </c>
      <c r="U57" s="3">
        <v>8</v>
      </c>
      <c r="V57" s="3">
        <v>89</v>
      </c>
      <c r="W57" s="3">
        <v>3</v>
      </c>
      <c r="X57" s="3">
        <v>5</v>
      </c>
      <c r="Y57">
        <f t="shared" si="0"/>
        <v>11.666666666666666</v>
      </c>
      <c r="Z57">
        <v>22</v>
      </c>
      <c r="AA57">
        <v>65</v>
      </c>
      <c r="AB57">
        <v>13</v>
      </c>
      <c r="AC57">
        <v>9</v>
      </c>
      <c r="AD57">
        <v>25</v>
      </c>
      <c r="AE57">
        <v>70</v>
      </c>
      <c r="AF57">
        <v>5</v>
      </c>
      <c r="AG57">
        <v>20</v>
      </c>
    </row>
    <row r="58" spans="1:33">
      <c r="A58">
        <v>2008</v>
      </c>
      <c r="B58">
        <v>9</v>
      </c>
      <c r="C58" s="2" t="s">
        <v>193</v>
      </c>
      <c r="D58" s="3">
        <v>12</v>
      </c>
      <c r="E58" s="3">
        <v>76</v>
      </c>
      <c r="F58" s="3">
        <v>12</v>
      </c>
      <c r="G58" s="3">
        <v>0</v>
      </c>
      <c r="H58" s="3">
        <v>35</v>
      </c>
      <c r="I58" s="3">
        <v>47</v>
      </c>
      <c r="J58" s="3">
        <v>18</v>
      </c>
      <c r="K58" s="3">
        <v>17</v>
      </c>
      <c r="L58">
        <v>46</v>
      </c>
      <c r="M58">
        <v>47</v>
      </c>
      <c r="N58">
        <v>7</v>
      </c>
      <c r="O58">
        <v>39</v>
      </c>
      <c r="U58" s="3">
        <v>8</v>
      </c>
      <c r="V58" s="3">
        <v>89</v>
      </c>
      <c r="W58" s="3">
        <v>3</v>
      </c>
      <c r="X58" s="3">
        <v>5</v>
      </c>
      <c r="Y58">
        <f t="shared" si="0"/>
        <v>4</v>
      </c>
      <c r="Z58">
        <v>24</v>
      </c>
      <c r="AA58">
        <v>59</v>
      </c>
      <c r="AB58">
        <v>17</v>
      </c>
      <c r="AC58">
        <v>7</v>
      </c>
      <c r="AD58">
        <v>14</v>
      </c>
      <c r="AE58">
        <v>79</v>
      </c>
      <c r="AF58">
        <v>7</v>
      </c>
      <c r="AG58">
        <v>7</v>
      </c>
    </row>
    <row r="59" spans="1:33">
      <c r="A59">
        <v>2008</v>
      </c>
      <c r="B59">
        <v>10</v>
      </c>
      <c r="C59" s="2" t="s">
        <v>192</v>
      </c>
      <c r="D59" s="3">
        <v>9</v>
      </c>
      <c r="E59" s="3">
        <v>71</v>
      </c>
      <c r="F59" s="3">
        <v>20</v>
      </c>
      <c r="G59" s="3">
        <v>-11</v>
      </c>
      <c r="H59" s="3">
        <v>9</v>
      </c>
      <c r="I59" s="3">
        <v>66</v>
      </c>
      <c r="J59" s="3">
        <v>25</v>
      </c>
      <c r="K59" s="3">
        <v>-16</v>
      </c>
      <c r="L59">
        <v>47</v>
      </c>
      <c r="M59">
        <v>46</v>
      </c>
      <c r="N59">
        <v>7</v>
      </c>
      <c r="O59">
        <v>40</v>
      </c>
      <c r="U59" s="3">
        <v>12</v>
      </c>
      <c r="V59" s="3">
        <v>84</v>
      </c>
      <c r="W59" s="3">
        <v>4</v>
      </c>
      <c r="X59" s="3">
        <v>8</v>
      </c>
      <c r="Y59">
        <f t="shared" si="0"/>
        <v>-11.666666666666666</v>
      </c>
      <c r="Z59">
        <v>47</v>
      </c>
      <c r="AA59">
        <v>35</v>
      </c>
      <c r="AB59">
        <v>18</v>
      </c>
      <c r="AC59">
        <v>29</v>
      </c>
      <c r="AD59">
        <v>13</v>
      </c>
      <c r="AE59">
        <v>81</v>
      </c>
      <c r="AF59">
        <v>6</v>
      </c>
      <c r="AG59">
        <v>7</v>
      </c>
    </row>
    <row r="60" spans="1:33">
      <c r="A60">
        <v>2008</v>
      </c>
      <c r="B60">
        <v>11</v>
      </c>
      <c r="C60" s="2" t="s">
        <v>191</v>
      </c>
      <c r="D60" s="3">
        <v>8</v>
      </c>
      <c r="E60" s="3">
        <v>46</v>
      </c>
      <c r="F60" s="3">
        <v>46</v>
      </c>
      <c r="G60" s="3">
        <v>-38</v>
      </c>
      <c r="H60" s="3">
        <v>7</v>
      </c>
      <c r="I60" s="3">
        <v>58</v>
      </c>
      <c r="J60" s="3">
        <v>35</v>
      </c>
      <c r="K60" s="3">
        <v>-28</v>
      </c>
      <c r="L60">
        <v>42</v>
      </c>
      <c r="M60">
        <v>50</v>
      </c>
      <c r="N60">
        <v>8</v>
      </c>
      <c r="O60">
        <v>34</v>
      </c>
      <c r="U60" s="3">
        <v>10</v>
      </c>
      <c r="V60" s="3">
        <v>87</v>
      </c>
      <c r="W60" s="3">
        <v>3</v>
      </c>
      <c r="X60" s="3">
        <v>7</v>
      </c>
      <c r="Y60">
        <f t="shared" si="0"/>
        <v>-24.333333333333332</v>
      </c>
      <c r="Z60">
        <v>45</v>
      </c>
      <c r="AA60">
        <v>23</v>
      </c>
      <c r="AB60">
        <v>32</v>
      </c>
      <c r="AC60">
        <v>13</v>
      </c>
      <c r="AD60">
        <v>12</v>
      </c>
      <c r="AE60">
        <v>77</v>
      </c>
      <c r="AF60">
        <v>11</v>
      </c>
      <c r="AG60">
        <v>1</v>
      </c>
    </row>
    <row r="61" spans="1:33">
      <c r="A61">
        <v>2008</v>
      </c>
      <c r="B61">
        <v>12</v>
      </c>
      <c r="C61" s="2" t="s">
        <v>190</v>
      </c>
      <c r="D61" s="3">
        <v>2</v>
      </c>
      <c r="E61" s="3">
        <v>41</v>
      </c>
      <c r="F61" s="3">
        <v>57</v>
      </c>
      <c r="G61" s="3">
        <v>-55</v>
      </c>
      <c r="H61" s="3">
        <v>1</v>
      </c>
      <c r="I61" s="3">
        <v>56</v>
      </c>
      <c r="J61" s="3">
        <v>43</v>
      </c>
      <c r="K61" s="3">
        <v>-42</v>
      </c>
      <c r="L61">
        <v>40</v>
      </c>
      <c r="M61">
        <v>50</v>
      </c>
      <c r="N61">
        <v>10</v>
      </c>
      <c r="O61">
        <v>30</v>
      </c>
      <c r="U61" s="3">
        <v>20</v>
      </c>
      <c r="V61" s="3">
        <v>77</v>
      </c>
      <c r="W61" s="3">
        <v>3</v>
      </c>
      <c r="X61" s="3">
        <v>17</v>
      </c>
      <c r="Y61">
        <f t="shared" si="0"/>
        <v>-38</v>
      </c>
      <c r="Z61">
        <v>16</v>
      </c>
      <c r="AA61">
        <v>25</v>
      </c>
      <c r="AB61">
        <v>59</v>
      </c>
      <c r="AC61">
        <v>-43</v>
      </c>
      <c r="AD61">
        <v>30</v>
      </c>
      <c r="AE61">
        <v>56</v>
      </c>
      <c r="AF61">
        <v>14</v>
      </c>
      <c r="AG61">
        <v>16</v>
      </c>
    </row>
    <row r="62" spans="1:33">
      <c r="A62">
        <v>2009</v>
      </c>
      <c r="B62">
        <v>1</v>
      </c>
      <c r="C62" s="2" t="s">
        <v>189</v>
      </c>
      <c r="D62" s="3">
        <v>1</v>
      </c>
      <c r="E62" s="3">
        <v>32</v>
      </c>
      <c r="F62" s="3">
        <v>67</v>
      </c>
      <c r="G62" s="3">
        <v>-66</v>
      </c>
      <c r="H62" s="3">
        <v>3</v>
      </c>
      <c r="I62" s="3">
        <v>49</v>
      </c>
      <c r="J62" s="3">
        <v>48</v>
      </c>
      <c r="K62" s="3">
        <v>-45</v>
      </c>
      <c r="L62">
        <v>31</v>
      </c>
      <c r="M62">
        <v>59</v>
      </c>
      <c r="N62">
        <v>10</v>
      </c>
      <c r="O62">
        <v>21</v>
      </c>
      <c r="U62" s="3">
        <v>57</v>
      </c>
      <c r="V62" s="3">
        <v>41</v>
      </c>
      <c r="W62" s="3">
        <v>2</v>
      </c>
      <c r="X62" s="3">
        <v>55</v>
      </c>
      <c r="Y62">
        <f t="shared" si="0"/>
        <v>-55.333333333333336</v>
      </c>
      <c r="Z62">
        <v>1</v>
      </c>
      <c r="AA62">
        <v>27</v>
      </c>
      <c r="AB62">
        <v>72</v>
      </c>
      <c r="AC62">
        <v>-71</v>
      </c>
      <c r="AD62">
        <v>50</v>
      </c>
      <c r="AE62">
        <v>42</v>
      </c>
      <c r="AF62">
        <v>8</v>
      </c>
      <c r="AG62">
        <v>42</v>
      </c>
    </row>
    <row r="63" spans="1:33">
      <c r="A63">
        <v>2009</v>
      </c>
      <c r="B63">
        <v>2</v>
      </c>
      <c r="C63" s="2" t="s">
        <v>188</v>
      </c>
      <c r="D63" s="3">
        <v>2</v>
      </c>
      <c r="E63" s="3">
        <v>26</v>
      </c>
      <c r="F63" s="3">
        <v>72</v>
      </c>
      <c r="G63" s="3">
        <v>-70</v>
      </c>
      <c r="H63" s="3">
        <v>2</v>
      </c>
      <c r="I63" s="3">
        <v>42</v>
      </c>
      <c r="J63" s="3">
        <v>56</v>
      </c>
      <c r="K63" s="3">
        <v>-54</v>
      </c>
      <c r="L63">
        <v>28</v>
      </c>
      <c r="M63">
        <v>61</v>
      </c>
      <c r="N63">
        <v>11</v>
      </c>
      <c r="O63">
        <v>17</v>
      </c>
      <c r="U63" s="3">
        <v>54</v>
      </c>
      <c r="V63" s="3">
        <v>43</v>
      </c>
      <c r="W63" s="3">
        <v>3</v>
      </c>
      <c r="X63" s="3">
        <v>51</v>
      </c>
      <c r="Y63">
        <f t="shared" si="0"/>
        <v>-58.333333333333336</v>
      </c>
      <c r="Z63">
        <v>2</v>
      </c>
      <c r="AA63">
        <v>32</v>
      </c>
      <c r="AB63">
        <v>66</v>
      </c>
      <c r="AC63">
        <v>-64</v>
      </c>
      <c r="AD63">
        <v>8</v>
      </c>
      <c r="AE63">
        <v>77</v>
      </c>
      <c r="AF63">
        <v>15</v>
      </c>
      <c r="AG63">
        <v>-7</v>
      </c>
    </row>
    <row r="64" spans="1:33">
      <c r="A64">
        <v>2009</v>
      </c>
      <c r="B64">
        <v>3</v>
      </c>
      <c r="C64" s="2" t="s">
        <v>187</v>
      </c>
      <c r="D64" s="3">
        <v>12</v>
      </c>
      <c r="E64" s="3">
        <v>26</v>
      </c>
      <c r="F64" s="3">
        <v>62</v>
      </c>
      <c r="G64" s="3">
        <v>-50</v>
      </c>
      <c r="H64" s="3">
        <v>1</v>
      </c>
      <c r="I64" s="3">
        <v>36</v>
      </c>
      <c r="J64" s="3">
        <v>63</v>
      </c>
      <c r="K64" s="3">
        <v>-62</v>
      </c>
      <c r="L64">
        <v>24</v>
      </c>
      <c r="M64">
        <v>62</v>
      </c>
      <c r="N64">
        <v>14</v>
      </c>
      <c r="O64">
        <v>10</v>
      </c>
      <c r="U64" s="3">
        <v>51</v>
      </c>
      <c r="V64" s="3">
        <v>46</v>
      </c>
      <c r="W64" s="3">
        <v>3</v>
      </c>
      <c r="X64" s="3">
        <v>48</v>
      </c>
      <c r="Y64">
        <f t="shared" si="0"/>
        <v>-53.333333333333336</v>
      </c>
      <c r="Z64">
        <v>3</v>
      </c>
      <c r="AA64">
        <v>25</v>
      </c>
      <c r="AB64">
        <v>72</v>
      </c>
      <c r="AC64">
        <v>-69</v>
      </c>
      <c r="AD64">
        <v>4</v>
      </c>
      <c r="AE64">
        <v>61</v>
      </c>
      <c r="AF64">
        <v>35</v>
      </c>
      <c r="AG64">
        <v>-31</v>
      </c>
    </row>
    <row r="65" spans="1:33">
      <c r="A65">
        <v>2009</v>
      </c>
      <c r="B65">
        <v>4</v>
      </c>
      <c r="C65" s="2" t="s">
        <v>186</v>
      </c>
      <c r="D65" s="3">
        <v>4</v>
      </c>
      <c r="E65" s="3">
        <v>31</v>
      </c>
      <c r="F65" s="3">
        <v>65</v>
      </c>
      <c r="G65" s="3">
        <v>-61</v>
      </c>
      <c r="H65" s="3">
        <v>2</v>
      </c>
      <c r="I65" s="3">
        <v>44</v>
      </c>
      <c r="J65" s="3">
        <v>54</v>
      </c>
      <c r="K65" s="3">
        <v>-52</v>
      </c>
      <c r="L65">
        <v>22</v>
      </c>
      <c r="M65">
        <v>65</v>
      </c>
      <c r="N65">
        <v>13</v>
      </c>
      <c r="O65">
        <v>9</v>
      </c>
      <c r="U65" s="3">
        <v>53</v>
      </c>
      <c r="V65" s="3">
        <v>45</v>
      </c>
      <c r="W65" s="3">
        <v>2</v>
      </c>
      <c r="X65" s="3">
        <v>51</v>
      </c>
      <c r="Y65">
        <f t="shared" si="0"/>
        <v>-54.666666666666664</v>
      </c>
      <c r="Z65">
        <v>4</v>
      </c>
      <c r="AA65">
        <v>18</v>
      </c>
      <c r="AB65">
        <v>78</v>
      </c>
      <c r="AC65">
        <v>-74</v>
      </c>
      <c r="AD65">
        <v>2</v>
      </c>
      <c r="AE65">
        <v>59</v>
      </c>
      <c r="AF65">
        <v>39</v>
      </c>
      <c r="AG65">
        <v>-37</v>
      </c>
    </row>
    <row r="66" spans="1:33">
      <c r="A66">
        <v>2009</v>
      </c>
      <c r="B66">
        <v>5</v>
      </c>
      <c r="C66" s="2" t="s">
        <v>185</v>
      </c>
      <c r="D66" s="3">
        <v>5</v>
      </c>
      <c r="E66" s="3">
        <v>48</v>
      </c>
      <c r="F66" s="3">
        <v>47</v>
      </c>
      <c r="G66" s="3">
        <v>-42</v>
      </c>
      <c r="H66" s="3">
        <v>11</v>
      </c>
      <c r="I66" s="3">
        <v>47</v>
      </c>
      <c r="J66" s="3">
        <v>42</v>
      </c>
      <c r="K66" s="3">
        <v>-31</v>
      </c>
      <c r="L66">
        <v>21</v>
      </c>
      <c r="M66">
        <v>67</v>
      </c>
      <c r="N66">
        <v>12</v>
      </c>
      <c r="O66">
        <v>9</v>
      </c>
      <c r="U66" s="3">
        <v>19</v>
      </c>
      <c r="V66" s="3">
        <v>79</v>
      </c>
      <c r="W66" s="3">
        <v>2</v>
      </c>
      <c r="X66" s="3">
        <v>17</v>
      </c>
      <c r="Y66">
        <f t="shared" si="0"/>
        <v>-30</v>
      </c>
      <c r="Z66">
        <v>4</v>
      </c>
      <c r="AA66">
        <v>34</v>
      </c>
      <c r="AB66">
        <v>62</v>
      </c>
      <c r="AC66">
        <v>-58</v>
      </c>
      <c r="AD66">
        <v>2</v>
      </c>
      <c r="AE66">
        <v>53</v>
      </c>
      <c r="AF66">
        <v>45</v>
      </c>
      <c r="AG66">
        <v>-43</v>
      </c>
    </row>
    <row r="67" spans="1:33">
      <c r="A67">
        <v>2009</v>
      </c>
      <c r="B67">
        <v>6</v>
      </c>
      <c r="C67" s="2" t="s">
        <v>184</v>
      </c>
      <c r="D67" s="3">
        <v>13</v>
      </c>
      <c r="E67" s="3">
        <v>39</v>
      </c>
      <c r="F67" s="3">
        <v>48</v>
      </c>
      <c r="G67" s="3">
        <v>-35</v>
      </c>
      <c r="H67" s="3">
        <v>5</v>
      </c>
      <c r="I67" s="3">
        <v>58</v>
      </c>
      <c r="J67" s="3">
        <v>37</v>
      </c>
      <c r="K67" s="3">
        <v>-32</v>
      </c>
      <c r="L67">
        <v>22</v>
      </c>
      <c r="M67">
        <v>66</v>
      </c>
      <c r="N67">
        <v>12</v>
      </c>
      <c r="O67">
        <v>10</v>
      </c>
      <c r="U67" s="3">
        <v>20</v>
      </c>
      <c r="V67" s="3">
        <v>77</v>
      </c>
      <c r="W67" s="3">
        <v>3</v>
      </c>
      <c r="X67" s="3">
        <v>17</v>
      </c>
      <c r="Y67">
        <f t="shared" ref="Y67:Y130" si="1">(G67+K67-X67)/3</f>
        <v>-28</v>
      </c>
      <c r="Z67">
        <v>13</v>
      </c>
      <c r="AA67">
        <v>30</v>
      </c>
      <c r="AB67">
        <v>57</v>
      </c>
      <c r="AC67">
        <v>-44</v>
      </c>
      <c r="AD67">
        <v>12</v>
      </c>
      <c r="AE67">
        <v>41</v>
      </c>
      <c r="AF67">
        <v>47</v>
      </c>
      <c r="AG67">
        <v>-35</v>
      </c>
    </row>
    <row r="68" spans="1:33">
      <c r="A68">
        <v>2009</v>
      </c>
      <c r="B68">
        <v>7</v>
      </c>
      <c r="C68" s="2" t="s">
        <v>183</v>
      </c>
      <c r="D68" s="3">
        <v>14</v>
      </c>
      <c r="E68" s="3">
        <v>38</v>
      </c>
      <c r="F68" s="3">
        <v>48</v>
      </c>
      <c r="G68" s="3">
        <v>-34</v>
      </c>
      <c r="H68" s="3">
        <v>13</v>
      </c>
      <c r="I68" s="3">
        <v>56</v>
      </c>
      <c r="J68" s="3">
        <v>31</v>
      </c>
      <c r="K68" s="3">
        <v>-18</v>
      </c>
      <c r="L68">
        <v>23</v>
      </c>
      <c r="M68">
        <v>66</v>
      </c>
      <c r="N68">
        <v>11</v>
      </c>
      <c r="O68">
        <v>12</v>
      </c>
      <c r="U68" s="3">
        <v>20</v>
      </c>
      <c r="V68" s="3">
        <v>77</v>
      </c>
      <c r="W68" s="3">
        <v>3</v>
      </c>
      <c r="X68" s="3">
        <v>17</v>
      </c>
      <c r="Y68">
        <f t="shared" si="1"/>
        <v>-23</v>
      </c>
      <c r="Z68">
        <v>13</v>
      </c>
      <c r="AA68">
        <v>31</v>
      </c>
      <c r="AB68">
        <v>56</v>
      </c>
      <c r="AC68">
        <v>-43</v>
      </c>
      <c r="AD68">
        <v>12</v>
      </c>
      <c r="AE68">
        <v>43</v>
      </c>
      <c r="AF68">
        <v>45</v>
      </c>
      <c r="AG68">
        <v>-33</v>
      </c>
    </row>
    <row r="69" spans="1:33">
      <c r="A69">
        <v>2009</v>
      </c>
      <c r="B69">
        <v>8</v>
      </c>
      <c r="C69" s="2" t="s">
        <v>182</v>
      </c>
      <c r="D69" s="3">
        <v>11</v>
      </c>
      <c r="E69" s="3">
        <v>25</v>
      </c>
      <c r="F69" s="3">
        <v>64</v>
      </c>
      <c r="G69" s="3">
        <v>-53</v>
      </c>
      <c r="H69" s="3">
        <v>14</v>
      </c>
      <c r="I69" s="3">
        <v>50</v>
      </c>
      <c r="J69" s="3">
        <v>36</v>
      </c>
      <c r="K69" s="3">
        <v>-22</v>
      </c>
      <c r="L69">
        <v>4</v>
      </c>
      <c r="M69">
        <v>83</v>
      </c>
      <c r="N69">
        <v>13</v>
      </c>
      <c r="O69">
        <v>-9</v>
      </c>
      <c r="U69" s="3">
        <v>24</v>
      </c>
      <c r="V69" s="3">
        <v>72</v>
      </c>
      <c r="W69" s="3">
        <v>4</v>
      </c>
      <c r="X69" s="3">
        <v>20</v>
      </c>
      <c r="Y69">
        <f t="shared" si="1"/>
        <v>-31.666666666666668</v>
      </c>
      <c r="Z69">
        <v>4</v>
      </c>
      <c r="AA69">
        <v>38</v>
      </c>
      <c r="AB69">
        <v>58</v>
      </c>
      <c r="AC69">
        <v>-54</v>
      </c>
      <c r="AD69">
        <v>28</v>
      </c>
      <c r="AE69">
        <v>32</v>
      </c>
      <c r="AF69">
        <v>40</v>
      </c>
      <c r="AG69">
        <v>-12</v>
      </c>
    </row>
    <row r="70" spans="1:33">
      <c r="A70">
        <v>2009</v>
      </c>
      <c r="B70">
        <v>9</v>
      </c>
      <c r="C70" s="2" t="s">
        <v>181</v>
      </c>
      <c r="D70" s="3">
        <v>11</v>
      </c>
      <c r="E70" s="3">
        <v>29</v>
      </c>
      <c r="F70" s="3">
        <v>60</v>
      </c>
      <c r="G70" s="3">
        <v>-49</v>
      </c>
      <c r="H70" s="3">
        <v>6</v>
      </c>
      <c r="I70" s="3">
        <v>38</v>
      </c>
      <c r="J70" s="3">
        <v>56</v>
      </c>
      <c r="K70" s="3">
        <v>-50</v>
      </c>
      <c r="L70">
        <v>3</v>
      </c>
      <c r="M70">
        <v>81</v>
      </c>
      <c r="N70">
        <v>16</v>
      </c>
      <c r="O70">
        <v>-13</v>
      </c>
      <c r="U70" s="3">
        <v>18</v>
      </c>
      <c r="V70" s="3">
        <v>78</v>
      </c>
      <c r="W70" s="3">
        <v>4</v>
      </c>
      <c r="X70" s="3">
        <v>14</v>
      </c>
      <c r="Y70">
        <f t="shared" si="1"/>
        <v>-37.666666666666664</v>
      </c>
      <c r="Z70">
        <v>3</v>
      </c>
      <c r="AA70">
        <v>41</v>
      </c>
      <c r="AB70">
        <v>56</v>
      </c>
      <c r="AC70">
        <v>-53</v>
      </c>
      <c r="AD70">
        <v>17</v>
      </c>
      <c r="AE70">
        <v>66</v>
      </c>
      <c r="AF70">
        <v>17</v>
      </c>
      <c r="AG70">
        <v>0</v>
      </c>
    </row>
    <row r="71" spans="1:33">
      <c r="A71">
        <v>2009</v>
      </c>
      <c r="B71">
        <v>10</v>
      </c>
      <c r="C71" s="2" t="s">
        <v>180</v>
      </c>
      <c r="D71" s="3">
        <v>15</v>
      </c>
      <c r="E71" s="3">
        <v>42</v>
      </c>
      <c r="F71" s="3">
        <v>43</v>
      </c>
      <c r="G71" s="3">
        <v>-28</v>
      </c>
      <c r="H71" s="3">
        <v>14</v>
      </c>
      <c r="I71" s="3">
        <v>25</v>
      </c>
      <c r="J71" s="3">
        <v>61</v>
      </c>
      <c r="K71" s="3">
        <v>-47</v>
      </c>
      <c r="L71">
        <v>4</v>
      </c>
      <c r="M71">
        <v>83</v>
      </c>
      <c r="N71">
        <v>13</v>
      </c>
      <c r="O71">
        <v>-9</v>
      </c>
      <c r="U71" s="3">
        <v>17</v>
      </c>
      <c r="V71" s="3">
        <v>79</v>
      </c>
      <c r="W71" s="3">
        <v>4</v>
      </c>
      <c r="X71" s="3">
        <v>13</v>
      </c>
      <c r="Y71">
        <f t="shared" si="1"/>
        <v>-29.333333333333332</v>
      </c>
      <c r="Z71">
        <v>6</v>
      </c>
      <c r="AA71">
        <v>35</v>
      </c>
      <c r="AB71">
        <v>59</v>
      </c>
      <c r="AC71">
        <v>-53</v>
      </c>
      <c r="AD71">
        <v>7</v>
      </c>
      <c r="AE71">
        <v>60</v>
      </c>
      <c r="AF71">
        <v>33</v>
      </c>
      <c r="AG71">
        <v>-26</v>
      </c>
    </row>
    <row r="72" spans="1:33">
      <c r="A72">
        <v>2009</v>
      </c>
      <c r="B72">
        <v>11</v>
      </c>
      <c r="C72" s="2" t="s">
        <v>179</v>
      </c>
      <c r="D72" s="3">
        <v>12</v>
      </c>
      <c r="E72" s="3">
        <v>28</v>
      </c>
      <c r="F72" s="3">
        <v>60</v>
      </c>
      <c r="G72" s="3">
        <v>-48</v>
      </c>
      <c r="H72" s="3">
        <v>14</v>
      </c>
      <c r="I72" s="3">
        <v>26</v>
      </c>
      <c r="J72" s="3">
        <v>60</v>
      </c>
      <c r="K72" s="3">
        <v>-46</v>
      </c>
      <c r="L72">
        <v>4</v>
      </c>
      <c r="M72">
        <v>77</v>
      </c>
      <c r="N72">
        <v>19</v>
      </c>
      <c r="O72">
        <v>-15</v>
      </c>
      <c r="U72" s="3">
        <v>15</v>
      </c>
      <c r="V72" s="3">
        <v>82</v>
      </c>
      <c r="W72" s="3">
        <v>3</v>
      </c>
      <c r="X72" s="3">
        <v>12</v>
      </c>
      <c r="Y72">
        <f t="shared" si="1"/>
        <v>-35.333333333333336</v>
      </c>
      <c r="Z72">
        <v>4</v>
      </c>
      <c r="AA72">
        <v>33</v>
      </c>
      <c r="AB72">
        <v>63</v>
      </c>
      <c r="AC72">
        <v>-59</v>
      </c>
      <c r="AD72">
        <v>13</v>
      </c>
      <c r="AE72">
        <v>70</v>
      </c>
      <c r="AF72">
        <v>17</v>
      </c>
      <c r="AG72">
        <v>-4</v>
      </c>
    </row>
    <row r="73" spans="1:33">
      <c r="A73">
        <v>2009</v>
      </c>
      <c r="B73">
        <v>12</v>
      </c>
      <c r="C73" s="2" t="s">
        <v>178</v>
      </c>
      <c r="D73" s="3">
        <v>1</v>
      </c>
      <c r="E73" s="3">
        <v>34</v>
      </c>
      <c r="F73" s="3">
        <v>65</v>
      </c>
      <c r="G73" s="3">
        <v>-64</v>
      </c>
      <c r="H73" s="3">
        <v>11</v>
      </c>
      <c r="I73" s="3">
        <v>25</v>
      </c>
      <c r="J73" s="3">
        <v>64</v>
      </c>
      <c r="K73" s="3">
        <v>-53</v>
      </c>
      <c r="L73">
        <v>4</v>
      </c>
      <c r="M73">
        <v>76</v>
      </c>
      <c r="N73">
        <v>20</v>
      </c>
      <c r="O73">
        <v>-16</v>
      </c>
      <c r="U73" s="3">
        <v>13</v>
      </c>
      <c r="V73" s="3">
        <v>84</v>
      </c>
      <c r="W73" s="3">
        <v>3</v>
      </c>
      <c r="X73" s="3">
        <v>10</v>
      </c>
      <c r="Y73">
        <f t="shared" si="1"/>
        <v>-42.333333333333336</v>
      </c>
      <c r="Z73">
        <v>3</v>
      </c>
      <c r="AA73">
        <v>29</v>
      </c>
      <c r="AB73">
        <v>68</v>
      </c>
      <c r="AC73">
        <v>-65</v>
      </c>
      <c r="AD73">
        <v>13</v>
      </c>
      <c r="AE73">
        <v>71</v>
      </c>
      <c r="AF73">
        <v>16</v>
      </c>
      <c r="AG73">
        <v>-3</v>
      </c>
    </row>
    <row r="74" spans="1:33">
      <c r="A74">
        <v>2010</v>
      </c>
      <c r="B74">
        <v>1</v>
      </c>
      <c r="C74" s="2" t="s">
        <v>177</v>
      </c>
      <c r="D74" s="3">
        <v>1</v>
      </c>
      <c r="E74" s="3">
        <v>56</v>
      </c>
      <c r="F74" s="3">
        <v>43</v>
      </c>
      <c r="G74" s="3">
        <v>-42</v>
      </c>
      <c r="H74" s="3">
        <v>15</v>
      </c>
      <c r="I74" s="3">
        <v>21</v>
      </c>
      <c r="J74" s="3">
        <v>64</v>
      </c>
      <c r="K74" s="3">
        <v>-49</v>
      </c>
      <c r="L74">
        <v>5</v>
      </c>
      <c r="M74">
        <v>76</v>
      </c>
      <c r="N74">
        <v>19</v>
      </c>
      <c r="O74">
        <v>-14</v>
      </c>
      <c r="U74" s="3">
        <v>12</v>
      </c>
      <c r="V74" s="3">
        <v>85</v>
      </c>
      <c r="W74" s="3">
        <v>3</v>
      </c>
      <c r="X74" s="3">
        <v>9</v>
      </c>
      <c r="Y74">
        <f t="shared" si="1"/>
        <v>-33.333333333333336</v>
      </c>
      <c r="Z74">
        <v>1</v>
      </c>
      <c r="AA74">
        <v>20</v>
      </c>
      <c r="AB74">
        <v>79</v>
      </c>
      <c r="AC74">
        <v>-78</v>
      </c>
      <c r="AD74">
        <v>6</v>
      </c>
      <c r="AE74">
        <v>72</v>
      </c>
      <c r="AF74">
        <v>22</v>
      </c>
      <c r="AG74">
        <v>-16</v>
      </c>
    </row>
    <row r="75" spans="1:33">
      <c r="A75">
        <v>2010</v>
      </c>
      <c r="B75">
        <v>2</v>
      </c>
      <c r="C75" s="2" t="s">
        <v>176</v>
      </c>
      <c r="D75" s="3">
        <v>2</v>
      </c>
      <c r="E75" s="3">
        <v>65</v>
      </c>
      <c r="F75" s="3">
        <v>33</v>
      </c>
      <c r="G75" s="3">
        <v>-31</v>
      </c>
      <c r="H75" s="3">
        <v>11</v>
      </c>
      <c r="I75" s="3">
        <v>30</v>
      </c>
      <c r="J75" s="3">
        <v>59</v>
      </c>
      <c r="K75" s="3">
        <v>-48</v>
      </c>
      <c r="L75">
        <v>3</v>
      </c>
      <c r="M75">
        <v>76</v>
      </c>
      <c r="N75">
        <v>21</v>
      </c>
      <c r="O75">
        <v>-18</v>
      </c>
      <c r="U75" s="3">
        <v>12</v>
      </c>
      <c r="V75" s="3">
        <v>84</v>
      </c>
      <c r="W75" s="3">
        <v>4</v>
      </c>
      <c r="X75" s="3">
        <v>8</v>
      </c>
      <c r="Y75">
        <f t="shared" si="1"/>
        <v>-29</v>
      </c>
      <c r="Z75">
        <v>4</v>
      </c>
      <c r="AA75">
        <v>52</v>
      </c>
      <c r="AB75">
        <v>44</v>
      </c>
      <c r="AC75">
        <v>-40</v>
      </c>
      <c r="AD75">
        <v>4</v>
      </c>
      <c r="AE75">
        <v>86</v>
      </c>
      <c r="AF75">
        <v>10</v>
      </c>
      <c r="AG75">
        <v>-6</v>
      </c>
    </row>
    <row r="76" spans="1:33">
      <c r="A76">
        <v>2010</v>
      </c>
      <c r="B76">
        <v>3</v>
      </c>
      <c r="C76" s="2" t="s">
        <v>175</v>
      </c>
      <c r="D76" s="3">
        <v>6</v>
      </c>
      <c r="E76" s="3">
        <v>64</v>
      </c>
      <c r="F76" s="3">
        <v>30</v>
      </c>
      <c r="G76" s="3">
        <v>-24</v>
      </c>
      <c r="H76" s="3">
        <v>12</v>
      </c>
      <c r="I76" s="3">
        <v>28</v>
      </c>
      <c r="J76" s="3">
        <v>60</v>
      </c>
      <c r="K76" s="3">
        <v>-48</v>
      </c>
      <c r="L76">
        <v>5</v>
      </c>
      <c r="M76">
        <v>74</v>
      </c>
      <c r="N76">
        <v>21</v>
      </c>
      <c r="O76">
        <v>-16</v>
      </c>
      <c r="U76" s="3">
        <v>12</v>
      </c>
      <c r="V76" s="3">
        <v>84</v>
      </c>
      <c r="W76" s="3">
        <v>4</v>
      </c>
      <c r="X76" s="3">
        <v>8</v>
      </c>
      <c r="Y76">
        <f t="shared" si="1"/>
        <v>-26.666666666666668</v>
      </c>
      <c r="Z76">
        <v>7</v>
      </c>
      <c r="AA76">
        <v>54</v>
      </c>
      <c r="AB76">
        <v>39</v>
      </c>
      <c r="AC76">
        <v>-32</v>
      </c>
      <c r="AD76">
        <v>14</v>
      </c>
      <c r="AE76">
        <v>74</v>
      </c>
      <c r="AF76">
        <v>12</v>
      </c>
      <c r="AG76">
        <v>2</v>
      </c>
    </row>
    <row r="77" spans="1:33">
      <c r="A77">
        <v>2010</v>
      </c>
      <c r="B77">
        <v>4</v>
      </c>
      <c r="C77" s="2" t="s">
        <v>174</v>
      </c>
      <c r="D77" s="3">
        <v>8</v>
      </c>
      <c r="E77" s="3">
        <v>69</v>
      </c>
      <c r="F77" s="3">
        <v>23</v>
      </c>
      <c r="G77" s="3">
        <v>-15</v>
      </c>
      <c r="H77" s="3">
        <v>4</v>
      </c>
      <c r="I77" s="3">
        <v>65</v>
      </c>
      <c r="J77" s="3">
        <v>31</v>
      </c>
      <c r="K77" s="3">
        <v>-27</v>
      </c>
      <c r="L77">
        <v>7</v>
      </c>
      <c r="M77">
        <v>72</v>
      </c>
      <c r="N77">
        <v>21</v>
      </c>
      <c r="O77">
        <v>-14</v>
      </c>
      <c r="U77" s="3">
        <v>10</v>
      </c>
      <c r="V77" s="3">
        <v>86</v>
      </c>
      <c r="W77" s="3">
        <v>4</v>
      </c>
      <c r="X77" s="3">
        <v>6</v>
      </c>
      <c r="Y77">
        <f t="shared" si="1"/>
        <v>-16</v>
      </c>
      <c r="Z77">
        <v>9</v>
      </c>
      <c r="AA77">
        <v>53</v>
      </c>
      <c r="AB77">
        <v>38</v>
      </c>
      <c r="AC77">
        <v>-29</v>
      </c>
      <c r="AD77">
        <v>4</v>
      </c>
      <c r="AE77">
        <v>84</v>
      </c>
      <c r="AF77">
        <v>12</v>
      </c>
      <c r="AG77">
        <v>-8</v>
      </c>
    </row>
    <row r="78" spans="1:33">
      <c r="A78">
        <v>2010</v>
      </c>
      <c r="B78">
        <v>5</v>
      </c>
      <c r="C78" s="2" t="s">
        <v>173</v>
      </c>
      <c r="D78" s="3">
        <v>19</v>
      </c>
      <c r="E78" s="3">
        <v>62</v>
      </c>
      <c r="F78" s="3">
        <v>19</v>
      </c>
      <c r="G78" s="3">
        <v>0</v>
      </c>
      <c r="H78" s="3">
        <v>7</v>
      </c>
      <c r="I78" s="3">
        <v>65</v>
      </c>
      <c r="J78" s="3">
        <v>28</v>
      </c>
      <c r="K78" s="3">
        <v>-21</v>
      </c>
      <c r="L78">
        <v>5</v>
      </c>
      <c r="M78">
        <v>76</v>
      </c>
      <c r="N78">
        <v>19</v>
      </c>
      <c r="O78">
        <v>-14</v>
      </c>
      <c r="U78" s="3">
        <v>11</v>
      </c>
      <c r="V78" s="3">
        <v>85</v>
      </c>
      <c r="W78" s="3">
        <v>4</v>
      </c>
      <c r="X78" s="3">
        <v>7</v>
      </c>
      <c r="Y78">
        <f t="shared" si="1"/>
        <v>-9.3333333333333339</v>
      </c>
      <c r="Z78">
        <v>11</v>
      </c>
      <c r="AA78">
        <v>58</v>
      </c>
      <c r="AB78">
        <v>31</v>
      </c>
      <c r="AC78">
        <v>-20</v>
      </c>
      <c r="AD78">
        <v>14</v>
      </c>
      <c r="AE78">
        <v>74</v>
      </c>
      <c r="AF78">
        <v>12</v>
      </c>
      <c r="AG78">
        <v>2</v>
      </c>
    </row>
    <row r="79" spans="1:33">
      <c r="A79">
        <v>2010</v>
      </c>
      <c r="B79">
        <v>6</v>
      </c>
      <c r="C79" s="2" t="s">
        <v>172</v>
      </c>
      <c r="D79" s="3">
        <v>22</v>
      </c>
      <c r="E79" s="3">
        <v>67</v>
      </c>
      <c r="F79" s="3">
        <v>11</v>
      </c>
      <c r="G79" s="3">
        <v>11</v>
      </c>
      <c r="H79" s="3">
        <v>19</v>
      </c>
      <c r="I79" s="3">
        <v>61</v>
      </c>
      <c r="J79" s="3">
        <v>20</v>
      </c>
      <c r="K79" s="3">
        <v>-1</v>
      </c>
      <c r="L79">
        <v>6</v>
      </c>
      <c r="M79">
        <v>75</v>
      </c>
      <c r="N79">
        <v>19</v>
      </c>
      <c r="O79">
        <v>-13</v>
      </c>
      <c r="U79" s="3">
        <v>11</v>
      </c>
      <c r="V79" s="3">
        <v>84</v>
      </c>
      <c r="W79" s="3">
        <v>5</v>
      </c>
      <c r="X79" s="3">
        <v>6</v>
      </c>
      <c r="Y79">
        <f t="shared" si="1"/>
        <v>1.3333333333333333</v>
      </c>
      <c r="Z79">
        <v>22</v>
      </c>
      <c r="AA79">
        <v>51</v>
      </c>
      <c r="AB79">
        <v>27</v>
      </c>
      <c r="AC79">
        <v>-5</v>
      </c>
      <c r="AD79">
        <v>4</v>
      </c>
      <c r="AE79">
        <v>84</v>
      </c>
      <c r="AF79">
        <v>12</v>
      </c>
      <c r="AG79">
        <v>-8</v>
      </c>
    </row>
    <row r="80" spans="1:33">
      <c r="A80">
        <v>2010</v>
      </c>
      <c r="B80">
        <v>7</v>
      </c>
      <c r="C80" s="2" t="s">
        <v>171</v>
      </c>
      <c r="D80" s="3">
        <v>23</v>
      </c>
      <c r="E80" s="3">
        <v>67</v>
      </c>
      <c r="F80" s="3">
        <v>10</v>
      </c>
      <c r="G80" s="3">
        <v>13</v>
      </c>
      <c r="H80" s="3">
        <v>26</v>
      </c>
      <c r="I80" s="3">
        <v>63</v>
      </c>
      <c r="J80" s="3">
        <v>11</v>
      </c>
      <c r="K80" s="3">
        <v>16</v>
      </c>
      <c r="L80">
        <v>6</v>
      </c>
      <c r="M80">
        <v>77</v>
      </c>
      <c r="N80">
        <v>17</v>
      </c>
      <c r="O80">
        <v>-11</v>
      </c>
      <c r="U80" s="3">
        <v>10</v>
      </c>
      <c r="V80" s="3">
        <v>86</v>
      </c>
      <c r="W80" s="3">
        <v>4</v>
      </c>
      <c r="X80" s="3">
        <v>6</v>
      </c>
      <c r="Y80">
        <f t="shared" si="1"/>
        <v>7.666666666666667</v>
      </c>
      <c r="Z80">
        <v>20</v>
      </c>
      <c r="AA80">
        <v>61</v>
      </c>
      <c r="AB80">
        <v>19</v>
      </c>
      <c r="AC80">
        <v>1</v>
      </c>
      <c r="AD80">
        <v>4</v>
      </c>
      <c r="AE80">
        <v>86</v>
      </c>
      <c r="AF80">
        <v>10</v>
      </c>
      <c r="AG80">
        <v>-6</v>
      </c>
    </row>
    <row r="81" spans="1:33">
      <c r="A81">
        <v>2010</v>
      </c>
      <c r="B81">
        <v>8</v>
      </c>
      <c r="C81" s="2" t="s">
        <v>170</v>
      </c>
      <c r="D81" s="3">
        <v>30</v>
      </c>
      <c r="E81" s="3">
        <v>62</v>
      </c>
      <c r="F81" s="3">
        <v>8</v>
      </c>
      <c r="G81" s="3">
        <v>22</v>
      </c>
      <c r="H81" s="3">
        <v>29</v>
      </c>
      <c r="I81" s="3">
        <v>61</v>
      </c>
      <c r="J81" s="3">
        <v>10</v>
      </c>
      <c r="K81" s="3">
        <v>19</v>
      </c>
      <c r="L81">
        <v>7</v>
      </c>
      <c r="M81">
        <v>80</v>
      </c>
      <c r="N81">
        <v>13</v>
      </c>
      <c r="O81">
        <v>-6</v>
      </c>
      <c r="U81" s="3">
        <v>10</v>
      </c>
      <c r="V81" s="3">
        <v>86</v>
      </c>
      <c r="W81" s="3">
        <v>4</v>
      </c>
      <c r="X81" s="3">
        <v>6</v>
      </c>
      <c r="Y81">
        <f t="shared" si="1"/>
        <v>11.666666666666666</v>
      </c>
      <c r="Z81">
        <v>13</v>
      </c>
      <c r="AA81">
        <v>74</v>
      </c>
      <c r="AB81">
        <v>13</v>
      </c>
      <c r="AC81">
        <v>0</v>
      </c>
      <c r="AD81">
        <v>12</v>
      </c>
      <c r="AE81">
        <v>79</v>
      </c>
      <c r="AF81">
        <v>9</v>
      </c>
      <c r="AG81">
        <v>3</v>
      </c>
    </row>
    <row r="82" spans="1:33">
      <c r="A82">
        <v>2010</v>
      </c>
      <c r="B82">
        <v>9</v>
      </c>
      <c r="C82" s="2" t="s">
        <v>169</v>
      </c>
      <c r="D82" s="3">
        <v>28</v>
      </c>
      <c r="E82" s="3">
        <v>62</v>
      </c>
      <c r="F82" s="3">
        <v>10</v>
      </c>
      <c r="G82" s="3">
        <v>18</v>
      </c>
      <c r="H82" s="3">
        <v>30</v>
      </c>
      <c r="I82" s="3">
        <v>62</v>
      </c>
      <c r="J82" s="3">
        <v>8</v>
      </c>
      <c r="K82" s="3">
        <v>22</v>
      </c>
      <c r="L82">
        <v>7</v>
      </c>
      <c r="M82">
        <v>80</v>
      </c>
      <c r="N82">
        <v>13</v>
      </c>
      <c r="O82">
        <v>-6</v>
      </c>
      <c r="U82" s="3">
        <v>10</v>
      </c>
      <c r="V82" s="3">
        <v>86</v>
      </c>
      <c r="W82" s="3">
        <v>4</v>
      </c>
      <c r="X82" s="3">
        <v>6</v>
      </c>
      <c r="Y82">
        <f t="shared" si="1"/>
        <v>11.333333333333334</v>
      </c>
      <c r="Z82">
        <v>14</v>
      </c>
      <c r="AA82">
        <v>72</v>
      </c>
      <c r="AB82">
        <v>14</v>
      </c>
      <c r="AC82">
        <v>0</v>
      </c>
      <c r="AD82">
        <v>17</v>
      </c>
      <c r="AE82">
        <v>80</v>
      </c>
      <c r="AF82">
        <v>3</v>
      </c>
      <c r="AG82">
        <v>14</v>
      </c>
    </row>
    <row r="83" spans="1:33">
      <c r="A83">
        <v>2010</v>
      </c>
      <c r="B83">
        <v>10</v>
      </c>
      <c r="C83" s="2" t="s">
        <v>168</v>
      </c>
      <c r="D83" s="3">
        <v>10</v>
      </c>
      <c r="E83" s="3">
        <v>79</v>
      </c>
      <c r="F83" s="3">
        <v>11</v>
      </c>
      <c r="G83" s="3">
        <v>-1</v>
      </c>
      <c r="H83" s="3">
        <v>37</v>
      </c>
      <c r="I83" s="3">
        <v>56</v>
      </c>
      <c r="J83" s="3">
        <v>7</v>
      </c>
      <c r="K83" s="3">
        <v>30</v>
      </c>
      <c r="L83">
        <v>8</v>
      </c>
      <c r="M83">
        <v>85</v>
      </c>
      <c r="N83">
        <v>7</v>
      </c>
      <c r="O83">
        <v>1</v>
      </c>
      <c r="U83" s="3">
        <v>10</v>
      </c>
      <c r="V83" s="3">
        <v>86</v>
      </c>
      <c r="W83" s="3">
        <v>4</v>
      </c>
      <c r="X83" s="3">
        <v>6</v>
      </c>
      <c r="Y83">
        <f t="shared" si="1"/>
        <v>7.666666666666667</v>
      </c>
      <c r="Z83">
        <v>38</v>
      </c>
      <c r="AA83">
        <v>48</v>
      </c>
      <c r="AB83">
        <v>14</v>
      </c>
      <c r="AC83">
        <v>24</v>
      </c>
      <c r="AD83">
        <v>38</v>
      </c>
      <c r="AE83">
        <v>59</v>
      </c>
      <c r="AF83">
        <v>3</v>
      </c>
      <c r="AG83">
        <v>35</v>
      </c>
    </row>
    <row r="84" spans="1:33">
      <c r="A84">
        <v>2010</v>
      </c>
      <c r="B84">
        <v>11</v>
      </c>
      <c r="C84" s="2" t="s">
        <v>167</v>
      </c>
      <c r="D84" s="3">
        <v>16</v>
      </c>
      <c r="E84" s="3">
        <v>73</v>
      </c>
      <c r="F84" s="3">
        <v>11</v>
      </c>
      <c r="G84" s="3">
        <v>5</v>
      </c>
      <c r="H84" s="3">
        <v>25</v>
      </c>
      <c r="I84" s="3">
        <v>68</v>
      </c>
      <c r="J84" s="3">
        <v>7</v>
      </c>
      <c r="K84" s="3">
        <v>18</v>
      </c>
      <c r="L84">
        <v>9</v>
      </c>
      <c r="M84">
        <v>78</v>
      </c>
      <c r="N84">
        <v>13</v>
      </c>
      <c r="O84">
        <v>-4</v>
      </c>
      <c r="U84" s="3">
        <v>10</v>
      </c>
      <c r="V84" s="3">
        <v>85</v>
      </c>
      <c r="W84" s="3">
        <v>5</v>
      </c>
      <c r="X84" s="3">
        <v>5</v>
      </c>
      <c r="Y84">
        <f t="shared" si="1"/>
        <v>6</v>
      </c>
      <c r="Z84">
        <v>46</v>
      </c>
      <c r="AA84">
        <v>42</v>
      </c>
      <c r="AB84">
        <v>12</v>
      </c>
      <c r="AC84">
        <v>34</v>
      </c>
      <c r="AD84">
        <v>39</v>
      </c>
      <c r="AE84">
        <v>57</v>
      </c>
      <c r="AF84">
        <v>4</v>
      </c>
      <c r="AG84">
        <v>35</v>
      </c>
    </row>
    <row r="85" spans="1:33">
      <c r="A85">
        <v>2010</v>
      </c>
      <c r="B85">
        <v>12</v>
      </c>
      <c r="C85" s="2" t="s">
        <v>166</v>
      </c>
      <c r="D85" s="3">
        <v>10</v>
      </c>
      <c r="E85" s="3">
        <v>76</v>
      </c>
      <c r="F85" s="3">
        <v>14</v>
      </c>
      <c r="G85" s="3">
        <v>-4</v>
      </c>
      <c r="H85" s="3">
        <v>30</v>
      </c>
      <c r="I85" s="3">
        <v>62</v>
      </c>
      <c r="J85" s="3">
        <v>8</v>
      </c>
      <c r="K85" s="3">
        <v>22</v>
      </c>
      <c r="L85">
        <v>8</v>
      </c>
      <c r="M85">
        <v>80</v>
      </c>
      <c r="N85">
        <v>12</v>
      </c>
      <c r="O85">
        <v>-4</v>
      </c>
      <c r="U85" s="3">
        <v>10</v>
      </c>
      <c r="V85" s="3">
        <v>85</v>
      </c>
      <c r="W85" s="3">
        <v>5</v>
      </c>
      <c r="X85" s="3">
        <v>5</v>
      </c>
      <c r="Y85">
        <f t="shared" si="1"/>
        <v>4.333333333333333</v>
      </c>
      <c r="Z85">
        <v>42</v>
      </c>
      <c r="AA85">
        <v>35</v>
      </c>
      <c r="AB85">
        <v>23</v>
      </c>
      <c r="AC85">
        <v>19</v>
      </c>
      <c r="AD85">
        <v>49</v>
      </c>
      <c r="AE85">
        <v>46</v>
      </c>
      <c r="AF85">
        <v>5</v>
      </c>
      <c r="AG85">
        <v>44</v>
      </c>
    </row>
    <row r="86" spans="1:33">
      <c r="A86">
        <v>2011</v>
      </c>
      <c r="B86">
        <v>1</v>
      </c>
      <c r="C86" s="2" t="s">
        <v>165</v>
      </c>
      <c r="D86" s="3">
        <v>7</v>
      </c>
      <c r="E86" s="3">
        <v>56</v>
      </c>
      <c r="F86" s="3">
        <v>37</v>
      </c>
      <c r="G86" s="3">
        <v>-30</v>
      </c>
      <c r="H86" s="3">
        <v>15</v>
      </c>
      <c r="I86" s="3">
        <v>53</v>
      </c>
      <c r="J86" s="3">
        <v>32</v>
      </c>
      <c r="K86" s="3">
        <v>-17</v>
      </c>
      <c r="L86">
        <v>8</v>
      </c>
      <c r="M86">
        <v>81</v>
      </c>
      <c r="N86">
        <v>11</v>
      </c>
      <c r="O86">
        <v>-3</v>
      </c>
      <c r="U86" s="3">
        <v>16</v>
      </c>
      <c r="V86" s="3">
        <v>80</v>
      </c>
      <c r="W86" s="3">
        <v>4</v>
      </c>
      <c r="X86" s="3">
        <v>12</v>
      </c>
      <c r="Y86">
        <f t="shared" si="1"/>
        <v>-19.666666666666668</v>
      </c>
      <c r="Z86">
        <v>12</v>
      </c>
      <c r="AA86">
        <v>33</v>
      </c>
      <c r="AB86">
        <v>55</v>
      </c>
      <c r="AC86">
        <v>-43</v>
      </c>
      <c r="AD86">
        <v>35</v>
      </c>
      <c r="AE86">
        <v>62</v>
      </c>
      <c r="AF86">
        <v>3</v>
      </c>
      <c r="AG86">
        <v>32</v>
      </c>
    </row>
    <row r="87" spans="1:33">
      <c r="A87">
        <v>2011</v>
      </c>
      <c r="B87">
        <v>2</v>
      </c>
      <c r="C87" s="2" t="s">
        <v>164</v>
      </c>
      <c r="D87" s="3">
        <v>10</v>
      </c>
      <c r="E87" s="3">
        <v>48</v>
      </c>
      <c r="F87" s="3">
        <v>42</v>
      </c>
      <c r="G87" s="3">
        <v>-32</v>
      </c>
      <c r="H87" s="3">
        <v>37</v>
      </c>
      <c r="I87" s="3">
        <v>26</v>
      </c>
      <c r="J87" s="3">
        <v>37</v>
      </c>
      <c r="K87" s="3">
        <v>0</v>
      </c>
      <c r="L87">
        <v>10</v>
      </c>
      <c r="M87">
        <v>85</v>
      </c>
      <c r="N87">
        <v>5</v>
      </c>
      <c r="O87">
        <v>5</v>
      </c>
      <c r="U87" s="3">
        <v>12</v>
      </c>
      <c r="V87" s="3">
        <v>83</v>
      </c>
      <c r="W87" s="3">
        <v>5</v>
      </c>
      <c r="X87" s="3">
        <v>7</v>
      </c>
      <c r="Y87">
        <f t="shared" si="1"/>
        <v>-13</v>
      </c>
      <c r="Z87">
        <v>8</v>
      </c>
      <c r="AA87">
        <v>66</v>
      </c>
      <c r="AB87">
        <v>26</v>
      </c>
      <c r="AC87">
        <v>-18</v>
      </c>
      <c r="AD87">
        <v>39</v>
      </c>
      <c r="AE87">
        <v>58</v>
      </c>
      <c r="AF87">
        <v>3</v>
      </c>
      <c r="AG87">
        <v>36</v>
      </c>
    </row>
    <row r="88" spans="1:33">
      <c r="A88">
        <v>2011</v>
      </c>
      <c r="B88">
        <v>3</v>
      </c>
      <c r="C88" s="2" t="s">
        <v>163</v>
      </c>
      <c r="D88" s="3">
        <v>21</v>
      </c>
      <c r="E88" s="3">
        <v>43</v>
      </c>
      <c r="F88" s="3">
        <v>36</v>
      </c>
      <c r="G88" s="3">
        <v>-15</v>
      </c>
      <c r="H88" s="3">
        <v>32</v>
      </c>
      <c r="I88" s="3">
        <v>29</v>
      </c>
      <c r="J88" s="3">
        <v>39</v>
      </c>
      <c r="K88" s="3">
        <v>-7</v>
      </c>
      <c r="L88">
        <v>11</v>
      </c>
      <c r="M88">
        <v>82</v>
      </c>
      <c r="N88">
        <v>7</v>
      </c>
      <c r="O88">
        <v>4</v>
      </c>
      <c r="U88" s="3">
        <v>10</v>
      </c>
      <c r="V88" s="3">
        <v>86</v>
      </c>
      <c r="W88" s="3">
        <v>4</v>
      </c>
      <c r="X88" s="3">
        <v>6</v>
      </c>
      <c r="Y88">
        <f t="shared" si="1"/>
        <v>-9.3333333333333339</v>
      </c>
      <c r="Z88">
        <v>19</v>
      </c>
      <c r="AA88">
        <v>61</v>
      </c>
      <c r="AB88">
        <v>20</v>
      </c>
      <c r="AC88">
        <v>-1</v>
      </c>
      <c r="AD88">
        <v>37</v>
      </c>
      <c r="AE88">
        <v>61</v>
      </c>
      <c r="AF88">
        <v>2</v>
      </c>
      <c r="AG88">
        <v>35</v>
      </c>
    </row>
    <row r="89" spans="1:33">
      <c r="A89">
        <v>2011</v>
      </c>
      <c r="B89">
        <v>4</v>
      </c>
      <c r="C89" s="2" t="s">
        <v>162</v>
      </c>
      <c r="D89" s="3">
        <v>14</v>
      </c>
      <c r="E89" s="3">
        <v>71</v>
      </c>
      <c r="F89" s="3">
        <v>15</v>
      </c>
      <c r="G89" s="3">
        <v>-1</v>
      </c>
      <c r="H89" s="3">
        <v>34</v>
      </c>
      <c r="I89" s="3">
        <v>34</v>
      </c>
      <c r="J89" s="3">
        <v>32</v>
      </c>
      <c r="K89" s="3">
        <v>2</v>
      </c>
      <c r="L89">
        <v>20</v>
      </c>
      <c r="M89">
        <v>75</v>
      </c>
      <c r="N89">
        <v>5</v>
      </c>
      <c r="O89">
        <v>15</v>
      </c>
      <c r="U89" s="3">
        <v>10</v>
      </c>
      <c r="V89" s="3">
        <v>85</v>
      </c>
      <c r="W89" s="3">
        <v>5</v>
      </c>
      <c r="X89" s="3">
        <v>5</v>
      </c>
      <c r="Y89">
        <f t="shared" si="1"/>
        <v>-1.3333333333333333</v>
      </c>
      <c r="Z89">
        <v>52</v>
      </c>
      <c r="AA89">
        <v>33</v>
      </c>
      <c r="AB89">
        <v>15</v>
      </c>
      <c r="AC89">
        <v>37</v>
      </c>
      <c r="AD89">
        <v>58</v>
      </c>
      <c r="AE89">
        <v>41</v>
      </c>
      <c r="AF89">
        <v>1</v>
      </c>
      <c r="AG89">
        <v>57</v>
      </c>
    </row>
    <row r="90" spans="1:33">
      <c r="A90">
        <v>2011</v>
      </c>
      <c r="B90">
        <v>5</v>
      </c>
      <c r="C90" s="2" t="s">
        <v>161</v>
      </c>
      <c r="D90" s="3">
        <v>25</v>
      </c>
      <c r="E90" s="3">
        <v>61</v>
      </c>
      <c r="F90" s="3">
        <v>14</v>
      </c>
      <c r="G90" s="3">
        <v>11</v>
      </c>
      <c r="H90" s="3">
        <v>37</v>
      </c>
      <c r="I90" s="3">
        <v>53</v>
      </c>
      <c r="J90" s="3">
        <v>10</v>
      </c>
      <c r="K90" s="3">
        <v>27</v>
      </c>
      <c r="L90">
        <v>18</v>
      </c>
      <c r="M90">
        <v>77</v>
      </c>
      <c r="N90">
        <v>5</v>
      </c>
      <c r="O90">
        <v>13</v>
      </c>
      <c r="U90" s="3">
        <v>10</v>
      </c>
      <c r="V90" s="3">
        <v>86</v>
      </c>
      <c r="W90" s="3">
        <v>4</v>
      </c>
      <c r="X90" s="3">
        <v>6</v>
      </c>
      <c r="Y90">
        <f t="shared" si="1"/>
        <v>10.666666666666666</v>
      </c>
      <c r="Z90">
        <v>27</v>
      </c>
      <c r="AA90">
        <v>57</v>
      </c>
      <c r="AB90">
        <v>16</v>
      </c>
      <c r="AC90">
        <v>11</v>
      </c>
      <c r="AD90">
        <v>48</v>
      </c>
      <c r="AE90">
        <v>51</v>
      </c>
      <c r="AF90">
        <v>1</v>
      </c>
      <c r="AG90">
        <v>47</v>
      </c>
    </row>
    <row r="91" spans="1:33">
      <c r="A91">
        <v>2011</v>
      </c>
      <c r="B91">
        <v>6</v>
      </c>
      <c r="C91" s="2" t="s">
        <v>160</v>
      </c>
      <c r="D91" s="3">
        <v>26</v>
      </c>
      <c r="E91" s="3">
        <v>60</v>
      </c>
      <c r="F91" s="3">
        <v>14</v>
      </c>
      <c r="G91" s="3">
        <v>12</v>
      </c>
      <c r="H91" s="3">
        <v>40</v>
      </c>
      <c r="I91" s="3">
        <v>55</v>
      </c>
      <c r="J91" s="3">
        <v>5</v>
      </c>
      <c r="K91" s="3">
        <v>35</v>
      </c>
      <c r="L91">
        <v>17</v>
      </c>
      <c r="M91">
        <v>80</v>
      </c>
      <c r="N91">
        <v>3</v>
      </c>
      <c r="O91">
        <v>14</v>
      </c>
      <c r="U91" s="3">
        <v>10</v>
      </c>
      <c r="V91" s="3">
        <v>86</v>
      </c>
      <c r="W91" s="3">
        <v>4</v>
      </c>
      <c r="X91" s="3">
        <v>6</v>
      </c>
      <c r="Y91">
        <f t="shared" si="1"/>
        <v>13.666666666666666</v>
      </c>
      <c r="Z91">
        <v>28</v>
      </c>
      <c r="AA91">
        <v>56</v>
      </c>
      <c r="AB91">
        <v>16</v>
      </c>
      <c r="AC91">
        <v>12</v>
      </c>
      <c r="AD91">
        <v>14</v>
      </c>
      <c r="AE91">
        <v>58</v>
      </c>
      <c r="AF91">
        <v>28</v>
      </c>
      <c r="AG91">
        <v>-14</v>
      </c>
    </row>
    <row r="92" spans="1:33">
      <c r="A92">
        <v>2011</v>
      </c>
      <c r="B92">
        <v>7</v>
      </c>
      <c r="C92" s="2" t="s">
        <v>159</v>
      </c>
      <c r="D92" s="3">
        <v>23</v>
      </c>
      <c r="E92" s="3">
        <v>66</v>
      </c>
      <c r="F92" s="3">
        <v>11</v>
      </c>
      <c r="G92" s="3">
        <v>12</v>
      </c>
      <c r="H92" s="3">
        <v>34</v>
      </c>
      <c r="I92" s="3">
        <v>59</v>
      </c>
      <c r="J92" s="3">
        <v>7</v>
      </c>
      <c r="K92" s="3">
        <v>27</v>
      </c>
      <c r="L92">
        <v>17</v>
      </c>
      <c r="M92">
        <v>80</v>
      </c>
      <c r="N92">
        <v>3</v>
      </c>
      <c r="O92">
        <v>14</v>
      </c>
      <c r="U92" s="3">
        <v>9</v>
      </c>
      <c r="V92" s="3">
        <v>88</v>
      </c>
      <c r="W92" s="3">
        <v>3</v>
      </c>
      <c r="X92" s="3">
        <v>6</v>
      </c>
      <c r="Y92">
        <f t="shared" si="1"/>
        <v>11</v>
      </c>
      <c r="Z92">
        <v>28</v>
      </c>
      <c r="AA92">
        <v>57</v>
      </c>
      <c r="AB92">
        <v>15</v>
      </c>
      <c r="AC92">
        <v>13</v>
      </c>
      <c r="AD92">
        <v>13</v>
      </c>
      <c r="AE92">
        <v>58</v>
      </c>
      <c r="AF92">
        <v>29</v>
      </c>
      <c r="AG92">
        <v>-16</v>
      </c>
    </row>
    <row r="93" spans="1:33">
      <c r="A93">
        <v>2011</v>
      </c>
      <c r="B93">
        <v>8</v>
      </c>
      <c r="C93" s="2" t="s">
        <v>158</v>
      </c>
      <c r="D93" s="3">
        <v>21</v>
      </c>
      <c r="E93" s="3">
        <v>66</v>
      </c>
      <c r="F93" s="3">
        <v>13</v>
      </c>
      <c r="G93" s="3">
        <v>8</v>
      </c>
      <c r="H93" s="3">
        <v>34</v>
      </c>
      <c r="I93" s="3">
        <v>59</v>
      </c>
      <c r="J93" s="3">
        <v>7</v>
      </c>
      <c r="K93" s="3">
        <v>27</v>
      </c>
      <c r="L93">
        <v>17</v>
      </c>
      <c r="M93">
        <v>81</v>
      </c>
      <c r="N93">
        <v>2</v>
      </c>
      <c r="O93">
        <v>15</v>
      </c>
      <c r="U93" s="3">
        <v>10</v>
      </c>
      <c r="V93" s="3">
        <v>86</v>
      </c>
      <c r="W93" s="3">
        <v>4</v>
      </c>
      <c r="X93" s="3">
        <v>6</v>
      </c>
      <c r="Y93">
        <f t="shared" si="1"/>
        <v>9.6666666666666661</v>
      </c>
      <c r="Z93">
        <v>8</v>
      </c>
      <c r="AA93">
        <v>80</v>
      </c>
      <c r="AB93">
        <v>12</v>
      </c>
      <c r="AC93">
        <v>-4</v>
      </c>
      <c r="AD93">
        <v>14</v>
      </c>
      <c r="AE93">
        <v>82</v>
      </c>
      <c r="AF93">
        <v>4</v>
      </c>
      <c r="AG93">
        <v>10</v>
      </c>
    </row>
    <row r="94" spans="1:33">
      <c r="A94">
        <v>2011</v>
      </c>
      <c r="B94">
        <v>9</v>
      </c>
      <c r="C94" s="2" t="s">
        <v>157</v>
      </c>
      <c r="D94" s="3">
        <v>13</v>
      </c>
      <c r="E94" s="3">
        <v>73</v>
      </c>
      <c r="F94" s="3">
        <v>14</v>
      </c>
      <c r="G94" s="3">
        <v>-1</v>
      </c>
      <c r="H94" s="3">
        <v>25</v>
      </c>
      <c r="I94" s="3">
        <v>70</v>
      </c>
      <c r="J94" s="3">
        <v>5</v>
      </c>
      <c r="K94" s="3">
        <v>20</v>
      </c>
      <c r="L94">
        <v>19</v>
      </c>
      <c r="M94">
        <v>78</v>
      </c>
      <c r="N94">
        <v>3</v>
      </c>
      <c r="O94">
        <v>16</v>
      </c>
      <c r="U94" s="3">
        <v>10</v>
      </c>
      <c r="V94" s="3">
        <v>87</v>
      </c>
      <c r="W94" s="3">
        <v>3</v>
      </c>
      <c r="X94" s="3">
        <v>7</v>
      </c>
      <c r="Y94">
        <f t="shared" si="1"/>
        <v>4</v>
      </c>
      <c r="Z94">
        <v>19</v>
      </c>
      <c r="AA94">
        <v>73</v>
      </c>
      <c r="AB94">
        <v>8</v>
      </c>
      <c r="AC94">
        <v>11</v>
      </c>
      <c r="AD94">
        <v>13</v>
      </c>
      <c r="AE94">
        <v>85</v>
      </c>
      <c r="AF94">
        <v>2</v>
      </c>
      <c r="AG94">
        <v>11</v>
      </c>
    </row>
    <row r="95" spans="1:33">
      <c r="A95">
        <v>2011</v>
      </c>
      <c r="B95">
        <v>10</v>
      </c>
      <c r="C95" s="2" t="s">
        <v>156</v>
      </c>
      <c r="D95" s="3">
        <v>10</v>
      </c>
      <c r="E95" s="3">
        <v>75</v>
      </c>
      <c r="F95" s="3">
        <v>15</v>
      </c>
      <c r="G95" s="3">
        <v>-5</v>
      </c>
      <c r="H95" s="3">
        <v>17</v>
      </c>
      <c r="I95" s="3">
        <v>76</v>
      </c>
      <c r="J95" s="3">
        <v>7</v>
      </c>
      <c r="K95" s="3">
        <v>10</v>
      </c>
      <c r="L95">
        <v>17</v>
      </c>
      <c r="M95">
        <v>80</v>
      </c>
      <c r="N95">
        <v>3</v>
      </c>
      <c r="O95">
        <v>14</v>
      </c>
      <c r="U95" s="3">
        <v>10</v>
      </c>
      <c r="V95" s="3">
        <v>88</v>
      </c>
      <c r="W95" s="3">
        <v>2</v>
      </c>
      <c r="X95" s="3">
        <v>8</v>
      </c>
      <c r="Y95">
        <f t="shared" si="1"/>
        <v>-1</v>
      </c>
      <c r="Z95">
        <v>18</v>
      </c>
      <c r="AA95">
        <v>72</v>
      </c>
      <c r="AB95">
        <v>10</v>
      </c>
      <c r="AC95">
        <v>8</v>
      </c>
      <c r="AD95">
        <v>12</v>
      </c>
      <c r="AE95">
        <v>87</v>
      </c>
      <c r="AF95">
        <v>1</v>
      </c>
      <c r="AG95">
        <v>11</v>
      </c>
    </row>
    <row r="96" spans="1:33">
      <c r="A96">
        <v>2011</v>
      </c>
      <c r="B96">
        <v>11</v>
      </c>
      <c r="C96" s="2" t="s">
        <v>155</v>
      </c>
      <c r="D96" s="3">
        <v>32</v>
      </c>
      <c r="E96" s="3">
        <v>44</v>
      </c>
      <c r="F96" s="3">
        <v>24</v>
      </c>
      <c r="G96" s="3">
        <v>8</v>
      </c>
      <c r="H96" s="3">
        <v>8</v>
      </c>
      <c r="I96" s="3">
        <v>63</v>
      </c>
      <c r="J96" s="3">
        <v>29</v>
      </c>
      <c r="K96" s="3">
        <v>-21</v>
      </c>
      <c r="L96">
        <v>18</v>
      </c>
      <c r="M96">
        <v>79</v>
      </c>
      <c r="N96">
        <v>3</v>
      </c>
      <c r="O96">
        <v>15</v>
      </c>
      <c r="U96" s="3">
        <v>10</v>
      </c>
      <c r="V96" s="3">
        <v>87</v>
      </c>
      <c r="W96" s="3">
        <v>3</v>
      </c>
      <c r="X96" s="3">
        <v>7</v>
      </c>
      <c r="Y96">
        <f t="shared" si="1"/>
        <v>-6.666666666666667</v>
      </c>
      <c r="Z96">
        <v>41</v>
      </c>
      <c r="AA96">
        <v>40</v>
      </c>
      <c r="AB96">
        <v>19</v>
      </c>
      <c r="AC96">
        <v>22</v>
      </c>
      <c r="AD96">
        <v>36</v>
      </c>
      <c r="AE96">
        <v>59</v>
      </c>
      <c r="AF96">
        <v>5</v>
      </c>
      <c r="AG96">
        <v>31</v>
      </c>
    </row>
    <row r="97" spans="1:33">
      <c r="A97">
        <v>2011</v>
      </c>
      <c r="B97">
        <v>12</v>
      </c>
      <c r="C97" s="2" t="s">
        <v>154</v>
      </c>
      <c r="D97" s="3">
        <v>31</v>
      </c>
      <c r="E97" s="3">
        <v>33</v>
      </c>
      <c r="F97" s="3">
        <v>36</v>
      </c>
      <c r="G97" s="3">
        <v>-5</v>
      </c>
      <c r="H97" s="3">
        <v>10</v>
      </c>
      <c r="I97" s="3">
        <v>58</v>
      </c>
      <c r="J97" s="3">
        <v>32</v>
      </c>
      <c r="K97" s="3">
        <v>-22</v>
      </c>
      <c r="L97">
        <v>21</v>
      </c>
      <c r="M97">
        <v>75</v>
      </c>
      <c r="N97">
        <v>4</v>
      </c>
      <c r="O97">
        <v>17</v>
      </c>
      <c r="U97" s="3">
        <v>10</v>
      </c>
      <c r="V97" s="3">
        <v>88</v>
      </c>
      <c r="W97" s="3">
        <v>2</v>
      </c>
      <c r="X97" s="3">
        <v>8</v>
      </c>
      <c r="Y97">
        <f t="shared" si="1"/>
        <v>-11.666666666666666</v>
      </c>
      <c r="Z97">
        <v>36</v>
      </c>
      <c r="AA97">
        <v>43</v>
      </c>
      <c r="AB97">
        <v>21</v>
      </c>
      <c r="AC97">
        <v>15</v>
      </c>
      <c r="AD97">
        <v>44</v>
      </c>
      <c r="AE97">
        <v>50</v>
      </c>
      <c r="AF97">
        <v>6</v>
      </c>
      <c r="AG97">
        <v>38</v>
      </c>
    </row>
    <row r="98" spans="1:33">
      <c r="A98">
        <v>2012</v>
      </c>
      <c r="B98">
        <v>1</v>
      </c>
      <c r="C98" s="2" t="s">
        <v>153</v>
      </c>
      <c r="D98" s="3">
        <v>3</v>
      </c>
      <c r="E98" s="3">
        <v>46</v>
      </c>
      <c r="F98" s="3">
        <v>51</v>
      </c>
      <c r="G98" s="3">
        <v>-48</v>
      </c>
      <c r="H98" s="3">
        <v>11</v>
      </c>
      <c r="I98" s="3">
        <v>57</v>
      </c>
      <c r="J98" s="3">
        <v>32</v>
      </c>
      <c r="K98" s="3">
        <v>-21</v>
      </c>
      <c r="L98">
        <v>30</v>
      </c>
      <c r="M98">
        <v>67</v>
      </c>
      <c r="N98">
        <v>3</v>
      </c>
      <c r="O98">
        <v>27</v>
      </c>
      <c r="U98" s="3">
        <v>15</v>
      </c>
      <c r="V98" s="3">
        <v>83</v>
      </c>
      <c r="W98" s="3">
        <v>2</v>
      </c>
      <c r="X98" s="3">
        <v>13</v>
      </c>
      <c r="Y98">
        <f t="shared" si="1"/>
        <v>-27.333333333333332</v>
      </c>
      <c r="Z98">
        <v>5</v>
      </c>
      <c r="AA98">
        <v>40</v>
      </c>
      <c r="AB98">
        <v>55</v>
      </c>
      <c r="AC98">
        <v>-50</v>
      </c>
      <c r="AD98">
        <v>37</v>
      </c>
      <c r="AE98">
        <v>61</v>
      </c>
      <c r="AF98">
        <v>2</v>
      </c>
      <c r="AG98">
        <v>35</v>
      </c>
    </row>
    <row r="99" spans="1:33">
      <c r="A99">
        <v>2012</v>
      </c>
      <c r="B99">
        <v>2</v>
      </c>
      <c r="C99" s="2" t="s">
        <v>152</v>
      </c>
      <c r="D99" s="3">
        <v>4</v>
      </c>
      <c r="E99" s="3">
        <v>79</v>
      </c>
      <c r="F99" s="3">
        <v>17</v>
      </c>
      <c r="G99" s="3">
        <v>-13</v>
      </c>
      <c r="H99" s="3">
        <v>7</v>
      </c>
      <c r="I99" s="3">
        <v>69</v>
      </c>
      <c r="J99" s="3">
        <v>24</v>
      </c>
      <c r="K99" s="3">
        <v>-17</v>
      </c>
      <c r="L99">
        <v>49</v>
      </c>
      <c r="M99">
        <v>48</v>
      </c>
      <c r="N99">
        <v>3</v>
      </c>
      <c r="O99">
        <v>46</v>
      </c>
      <c r="U99" s="3">
        <v>11</v>
      </c>
      <c r="V99" s="3">
        <v>87</v>
      </c>
      <c r="W99" s="3">
        <v>2</v>
      </c>
      <c r="X99" s="3">
        <v>9</v>
      </c>
      <c r="Y99">
        <f t="shared" si="1"/>
        <v>-13</v>
      </c>
      <c r="Z99">
        <v>6</v>
      </c>
      <c r="AA99">
        <v>75</v>
      </c>
      <c r="AB99">
        <v>19</v>
      </c>
      <c r="AC99">
        <v>-13</v>
      </c>
      <c r="AD99">
        <v>17</v>
      </c>
      <c r="AE99">
        <v>82</v>
      </c>
      <c r="AF99">
        <v>1</v>
      </c>
      <c r="AG99">
        <v>16</v>
      </c>
    </row>
    <row r="100" spans="1:33">
      <c r="A100">
        <v>2012</v>
      </c>
      <c r="B100">
        <v>3</v>
      </c>
      <c r="C100" s="2" t="s">
        <v>151</v>
      </c>
      <c r="D100" s="3">
        <v>7</v>
      </c>
      <c r="E100" s="3">
        <v>80</v>
      </c>
      <c r="F100" s="3">
        <v>13</v>
      </c>
      <c r="G100" s="3">
        <v>-6</v>
      </c>
      <c r="H100" s="3">
        <v>5</v>
      </c>
      <c r="I100" s="3">
        <v>72</v>
      </c>
      <c r="J100" s="3">
        <v>23</v>
      </c>
      <c r="K100" s="3">
        <v>-18</v>
      </c>
      <c r="L100">
        <v>29</v>
      </c>
      <c r="M100">
        <v>67</v>
      </c>
      <c r="N100">
        <v>4</v>
      </c>
      <c r="O100">
        <v>25</v>
      </c>
      <c r="U100" s="3">
        <v>12</v>
      </c>
      <c r="V100" s="3">
        <v>85</v>
      </c>
      <c r="W100" s="3">
        <v>3</v>
      </c>
      <c r="X100" s="3">
        <v>9</v>
      </c>
      <c r="Y100">
        <f t="shared" si="1"/>
        <v>-11</v>
      </c>
      <c r="Z100">
        <v>32</v>
      </c>
      <c r="AA100">
        <v>61</v>
      </c>
      <c r="AB100">
        <v>7</v>
      </c>
      <c r="AC100">
        <v>25</v>
      </c>
      <c r="AD100">
        <v>18</v>
      </c>
      <c r="AE100">
        <v>80</v>
      </c>
      <c r="AF100">
        <v>2</v>
      </c>
      <c r="AG100">
        <v>16</v>
      </c>
    </row>
    <row r="101" spans="1:33">
      <c r="A101">
        <v>2012</v>
      </c>
      <c r="B101">
        <v>4</v>
      </c>
      <c r="C101" s="2" t="s">
        <v>150</v>
      </c>
      <c r="D101" s="3">
        <v>40</v>
      </c>
      <c r="E101" s="3">
        <v>53</v>
      </c>
      <c r="F101" s="3">
        <v>7</v>
      </c>
      <c r="G101" s="3">
        <v>33</v>
      </c>
      <c r="H101" s="3">
        <v>6</v>
      </c>
      <c r="I101" s="3">
        <v>74</v>
      </c>
      <c r="J101" s="3">
        <v>20</v>
      </c>
      <c r="K101" s="3">
        <v>-14</v>
      </c>
      <c r="L101">
        <v>52</v>
      </c>
      <c r="M101">
        <v>44</v>
      </c>
      <c r="N101">
        <v>4</v>
      </c>
      <c r="O101">
        <v>48</v>
      </c>
      <c r="U101" s="3">
        <v>12</v>
      </c>
      <c r="V101" s="3">
        <v>85</v>
      </c>
      <c r="W101" s="3">
        <v>3</v>
      </c>
      <c r="X101" s="3">
        <v>9</v>
      </c>
      <c r="Y101">
        <f t="shared" si="1"/>
        <v>3.3333333333333335</v>
      </c>
      <c r="Z101">
        <v>33</v>
      </c>
      <c r="AA101">
        <v>58</v>
      </c>
      <c r="AB101">
        <v>9</v>
      </c>
      <c r="AC101">
        <v>24</v>
      </c>
      <c r="AD101">
        <v>23</v>
      </c>
      <c r="AE101">
        <v>75</v>
      </c>
      <c r="AF101">
        <v>2</v>
      </c>
      <c r="AG101">
        <v>21</v>
      </c>
    </row>
    <row r="102" spans="1:33">
      <c r="A102">
        <v>2012</v>
      </c>
      <c r="B102">
        <v>5</v>
      </c>
      <c r="C102" s="2" t="s">
        <v>149</v>
      </c>
      <c r="D102" s="3">
        <v>20</v>
      </c>
      <c r="E102" s="3">
        <v>70</v>
      </c>
      <c r="F102" s="3">
        <v>10</v>
      </c>
      <c r="G102" s="3">
        <v>10</v>
      </c>
      <c r="H102" s="3">
        <v>14</v>
      </c>
      <c r="I102" s="3">
        <v>51</v>
      </c>
      <c r="J102" s="3">
        <v>35</v>
      </c>
      <c r="K102" s="3">
        <v>-21</v>
      </c>
      <c r="L102">
        <v>27</v>
      </c>
      <c r="M102">
        <v>70</v>
      </c>
      <c r="N102">
        <v>3</v>
      </c>
      <c r="O102">
        <v>24</v>
      </c>
      <c r="U102" s="3">
        <v>12</v>
      </c>
      <c r="V102" s="3">
        <v>85</v>
      </c>
      <c r="W102" s="3">
        <v>3</v>
      </c>
      <c r="X102" s="3">
        <v>9</v>
      </c>
      <c r="Y102">
        <f t="shared" si="1"/>
        <v>-6.666666666666667</v>
      </c>
      <c r="Z102">
        <v>40</v>
      </c>
      <c r="AA102">
        <v>48</v>
      </c>
      <c r="AB102">
        <v>12</v>
      </c>
      <c r="AC102">
        <v>28</v>
      </c>
      <c r="AD102">
        <v>17</v>
      </c>
      <c r="AE102">
        <v>81</v>
      </c>
      <c r="AF102">
        <v>2</v>
      </c>
      <c r="AG102">
        <v>15</v>
      </c>
    </row>
    <row r="103" spans="1:33">
      <c r="A103">
        <v>2012</v>
      </c>
      <c r="B103">
        <v>6</v>
      </c>
      <c r="C103" s="2" t="s">
        <v>148</v>
      </c>
      <c r="D103" s="3">
        <v>35</v>
      </c>
      <c r="E103" s="3">
        <v>54</v>
      </c>
      <c r="F103" s="3">
        <v>11</v>
      </c>
      <c r="G103" s="3">
        <v>24</v>
      </c>
      <c r="H103" s="3">
        <v>19</v>
      </c>
      <c r="I103" s="3">
        <v>71</v>
      </c>
      <c r="J103" s="3">
        <v>10</v>
      </c>
      <c r="K103" s="3">
        <v>9</v>
      </c>
      <c r="L103">
        <v>25</v>
      </c>
      <c r="M103">
        <v>72</v>
      </c>
      <c r="N103">
        <v>3</v>
      </c>
      <c r="O103">
        <v>22</v>
      </c>
      <c r="U103" s="3">
        <v>12</v>
      </c>
      <c r="V103" s="3">
        <v>86</v>
      </c>
      <c r="W103" s="3">
        <v>2</v>
      </c>
      <c r="X103" s="3">
        <v>10</v>
      </c>
      <c r="Y103">
        <f t="shared" si="1"/>
        <v>7.666666666666667</v>
      </c>
      <c r="Z103">
        <v>50</v>
      </c>
      <c r="AA103">
        <v>37</v>
      </c>
      <c r="AB103">
        <v>13</v>
      </c>
      <c r="AC103">
        <v>37</v>
      </c>
      <c r="AD103">
        <v>5</v>
      </c>
      <c r="AE103">
        <v>84</v>
      </c>
      <c r="AF103">
        <v>11</v>
      </c>
      <c r="AG103">
        <v>-6</v>
      </c>
    </row>
    <row r="104" spans="1:33">
      <c r="A104">
        <v>2012</v>
      </c>
      <c r="B104">
        <v>7</v>
      </c>
      <c r="C104" s="2" t="s">
        <v>147</v>
      </c>
      <c r="D104" s="3">
        <v>17</v>
      </c>
      <c r="E104" s="3">
        <v>56</v>
      </c>
      <c r="F104" s="3">
        <v>27</v>
      </c>
      <c r="G104" s="3">
        <v>-10</v>
      </c>
      <c r="H104" s="3">
        <v>27</v>
      </c>
      <c r="I104" s="3">
        <v>43</v>
      </c>
      <c r="J104" s="3">
        <v>30</v>
      </c>
      <c r="K104" s="3">
        <v>-3</v>
      </c>
      <c r="L104">
        <v>31</v>
      </c>
      <c r="M104">
        <v>66</v>
      </c>
      <c r="N104">
        <v>3</v>
      </c>
      <c r="O104">
        <v>28</v>
      </c>
      <c r="U104" s="3">
        <v>15</v>
      </c>
      <c r="V104" s="3">
        <v>82</v>
      </c>
      <c r="W104" s="3">
        <v>3</v>
      </c>
      <c r="X104" s="3">
        <v>12</v>
      </c>
      <c r="Y104">
        <f t="shared" si="1"/>
        <v>-8.3333333333333339</v>
      </c>
      <c r="Z104">
        <v>10</v>
      </c>
      <c r="AA104">
        <v>84</v>
      </c>
      <c r="AB104">
        <v>6</v>
      </c>
      <c r="AC104">
        <v>4</v>
      </c>
      <c r="AD104">
        <v>15</v>
      </c>
      <c r="AE104">
        <v>82</v>
      </c>
      <c r="AF104">
        <v>3</v>
      </c>
      <c r="AG104">
        <v>12</v>
      </c>
    </row>
    <row r="105" spans="1:33">
      <c r="A105">
        <v>2012</v>
      </c>
      <c r="B105">
        <v>8</v>
      </c>
      <c r="C105" s="2" t="s">
        <v>146</v>
      </c>
      <c r="D105" s="3">
        <v>11</v>
      </c>
      <c r="E105" s="3">
        <v>60</v>
      </c>
      <c r="F105" s="3">
        <v>29</v>
      </c>
      <c r="G105" s="3">
        <v>-18</v>
      </c>
      <c r="H105" s="3">
        <v>17</v>
      </c>
      <c r="I105" s="3">
        <v>67</v>
      </c>
      <c r="J105" s="3">
        <v>16</v>
      </c>
      <c r="K105" s="3">
        <v>1</v>
      </c>
      <c r="L105">
        <v>23</v>
      </c>
      <c r="M105">
        <v>74</v>
      </c>
      <c r="N105">
        <v>3</v>
      </c>
      <c r="O105">
        <v>20</v>
      </c>
      <c r="U105" s="3">
        <v>14</v>
      </c>
      <c r="V105" s="3">
        <v>85</v>
      </c>
      <c r="W105" s="3">
        <v>1</v>
      </c>
      <c r="X105" s="3">
        <v>13</v>
      </c>
      <c r="Y105">
        <f t="shared" si="1"/>
        <v>-10</v>
      </c>
      <c r="Z105">
        <v>12</v>
      </c>
      <c r="AA105">
        <v>72</v>
      </c>
      <c r="AB105">
        <v>16</v>
      </c>
      <c r="AC105">
        <v>-4</v>
      </c>
      <c r="AD105">
        <v>5</v>
      </c>
      <c r="AE105">
        <v>94</v>
      </c>
      <c r="AF105">
        <v>1</v>
      </c>
      <c r="AG105">
        <v>4</v>
      </c>
    </row>
    <row r="106" spans="1:33">
      <c r="A106">
        <v>2012</v>
      </c>
      <c r="B106">
        <v>9</v>
      </c>
      <c r="C106" s="2" t="s">
        <v>145</v>
      </c>
      <c r="D106" s="3">
        <v>13</v>
      </c>
      <c r="E106" s="3">
        <v>69</v>
      </c>
      <c r="F106" s="3">
        <v>18</v>
      </c>
      <c r="G106" s="3">
        <v>-5</v>
      </c>
      <c r="H106" s="3">
        <v>17</v>
      </c>
      <c r="I106" s="3">
        <v>69</v>
      </c>
      <c r="J106" s="3">
        <v>14</v>
      </c>
      <c r="K106" s="3">
        <v>3</v>
      </c>
      <c r="L106">
        <v>25</v>
      </c>
      <c r="M106">
        <v>72</v>
      </c>
      <c r="N106">
        <v>3</v>
      </c>
      <c r="O106">
        <v>22</v>
      </c>
      <c r="U106" s="3">
        <v>11</v>
      </c>
      <c r="V106" s="3">
        <v>87</v>
      </c>
      <c r="W106" s="3">
        <v>2</v>
      </c>
      <c r="X106" s="3">
        <v>9</v>
      </c>
      <c r="Y106">
        <f t="shared" si="1"/>
        <v>-3.6666666666666665</v>
      </c>
      <c r="Z106">
        <v>12</v>
      </c>
      <c r="AA106">
        <v>57</v>
      </c>
      <c r="AB106">
        <v>31</v>
      </c>
      <c r="AC106">
        <v>-19</v>
      </c>
      <c r="AD106">
        <v>38</v>
      </c>
      <c r="AE106">
        <v>60</v>
      </c>
      <c r="AF106">
        <v>2</v>
      </c>
      <c r="AG106">
        <v>36</v>
      </c>
    </row>
    <row r="107" spans="1:33">
      <c r="A107">
        <v>2012</v>
      </c>
      <c r="B107">
        <v>10</v>
      </c>
      <c r="C107" s="2" t="s">
        <v>144</v>
      </c>
      <c r="D107" s="3">
        <v>9</v>
      </c>
      <c r="E107" s="3">
        <v>80</v>
      </c>
      <c r="F107" s="3">
        <v>11</v>
      </c>
      <c r="G107" s="3">
        <v>-2</v>
      </c>
      <c r="H107" s="3">
        <v>25</v>
      </c>
      <c r="I107" s="3">
        <v>39</v>
      </c>
      <c r="J107" s="3">
        <v>36</v>
      </c>
      <c r="K107" s="3">
        <v>-11</v>
      </c>
      <c r="L107">
        <v>27</v>
      </c>
      <c r="M107">
        <v>69</v>
      </c>
      <c r="N107">
        <v>4</v>
      </c>
      <c r="O107">
        <v>23</v>
      </c>
      <c r="U107" s="3">
        <v>16</v>
      </c>
      <c r="V107" s="3">
        <v>82</v>
      </c>
      <c r="W107" s="3">
        <v>2</v>
      </c>
      <c r="X107" s="3">
        <v>14</v>
      </c>
      <c r="Y107">
        <f t="shared" si="1"/>
        <v>-9</v>
      </c>
      <c r="Z107">
        <v>38</v>
      </c>
      <c r="AA107">
        <v>46</v>
      </c>
      <c r="AB107">
        <v>16</v>
      </c>
      <c r="AC107">
        <v>22</v>
      </c>
      <c r="AD107">
        <v>16</v>
      </c>
      <c r="AE107">
        <v>82</v>
      </c>
      <c r="AF107">
        <v>2</v>
      </c>
      <c r="AG107">
        <v>14</v>
      </c>
    </row>
    <row r="108" spans="1:33">
      <c r="A108">
        <v>2012</v>
      </c>
      <c r="B108">
        <v>11</v>
      </c>
      <c r="C108" s="2" t="s">
        <v>143</v>
      </c>
      <c r="D108" s="3">
        <v>7</v>
      </c>
      <c r="E108" s="3">
        <v>78</v>
      </c>
      <c r="F108" s="3">
        <v>15</v>
      </c>
      <c r="G108" s="3">
        <v>-8</v>
      </c>
      <c r="H108" s="3">
        <v>16</v>
      </c>
      <c r="I108" s="3">
        <v>46</v>
      </c>
      <c r="J108" s="3">
        <v>38</v>
      </c>
      <c r="K108" s="3">
        <v>-22</v>
      </c>
      <c r="L108">
        <v>26</v>
      </c>
      <c r="M108">
        <v>70</v>
      </c>
      <c r="N108">
        <v>4</v>
      </c>
      <c r="O108">
        <v>22</v>
      </c>
      <c r="U108" s="3">
        <v>11</v>
      </c>
      <c r="V108" s="3">
        <v>88</v>
      </c>
      <c r="W108" s="3">
        <v>1</v>
      </c>
      <c r="X108" s="3">
        <v>10</v>
      </c>
      <c r="Y108">
        <f t="shared" si="1"/>
        <v>-13.333333333333334</v>
      </c>
      <c r="Z108">
        <v>46</v>
      </c>
      <c r="AA108">
        <v>35</v>
      </c>
      <c r="AB108">
        <v>19</v>
      </c>
      <c r="AC108">
        <v>27</v>
      </c>
      <c r="AD108">
        <v>38</v>
      </c>
      <c r="AE108">
        <v>60</v>
      </c>
      <c r="AF108">
        <v>2</v>
      </c>
      <c r="AG108">
        <v>36</v>
      </c>
    </row>
    <row r="109" spans="1:33">
      <c r="A109">
        <v>2012</v>
      </c>
      <c r="B109">
        <v>12</v>
      </c>
      <c r="C109" s="2" t="s">
        <v>142</v>
      </c>
      <c r="D109" s="3">
        <v>5</v>
      </c>
      <c r="E109" s="3">
        <v>75</v>
      </c>
      <c r="F109" s="3">
        <v>20</v>
      </c>
      <c r="G109" s="3">
        <v>-15</v>
      </c>
      <c r="H109" s="3">
        <v>13</v>
      </c>
      <c r="I109" s="3">
        <v>61</v>
      </c>
      <c r="J109" s="3">
        <v>26</v>
      </c>
      <c r="K109" s="3">
        <v>-13</v>
      </c>
      <c r="L109">
        <v>24</v>
      </c>
      <c r="M109">
        <v>72</v>
      </c>
      <c r="N109">
        <v>4</v>
      </c>
      <c r="O109">
        <v>20</v>
      </c>
      <c r="U109" s="3">
        <v>16</v>
      </c>
      <c r="V109" s="3">
        <v>83</v>
      </c>
      <c r="W109" s="3">
        <v>1</v>
      </c>
      <c r="X109" s="3">
        <v>15</v>
      </c>
      <c r="Y109">
        <f t="shared" si="1"/>
        <v>-14.333333333333334</v>
      </c>
      <c r="Z109">
        <v>44</v>
      </c>
      <c r="AA109">
        <v>30</v>
      </c>
      <c r="AB109">
        <v>26</v>
      </c>
      <c r="AC109">
        <v>18</v>
      </c>
      <c r="AD109">
        <v>38</v>
      </c>
      <c r="AE109">
        <v>59</v>
      </c>
      <c r="AF109">
        <v>3</v>
      </c>
      <c r="AG109">
        <v>35</v>
      </c>
    </row>
    <row r="110" spans="1:33">
      <c r="A110">
        <v>2013</v>
      </c>
      <c r="B110">
        <v>1</v>
      </c>
      <c r="C110" s="2" t="s">
        <v>141</v>
      </c>
      <c r="D110" s="3">
        <v>6</v>
      </c>
      <c r="E110" s="3">
        <v>59</v>
      </c>
      <c r="F110" s="3">
        <v>35</v>
      </c>
      <c r="G110" s="3">
        <v>-29</v>
      </c>
      <c r="H110" s="3">
        <v>13</v>
      </c>
      <c r="I110" s="3">
        <v>68</v>
      </c>
      <c r="J110" s="3">
        <v>19</v>
      </c>
      <c r="K110" s="3">
        <v>-6</v>
      </c>
      <c r="L110">
        <v>25</v>
      </c>
      <c r="M110">
        <v>71</v>
      </c>
      <c r="N110">
        <v>4</v>
      </c>
      <c r="O110">
        <v>21</v>
      </c>
      <c r="U110" s="3">
        <v>19</v>
      </c>
      <c r="V110" s="3">
        <v>80</v>
      </c>
      <c r="W110" s="3">
        <v>1</v>
      </c>
      <c r="X110" s="3">
        <v>18</v>
      </c>
      <c r="Y110">
        <f t="shared" si="1"/>
        <v>-17.666666666666668</v>
      </c>
      <c r="Z110">
        <v>9</v>
      </c>
      <c r="AA110">
        <v>39</v>
      </c>
      <c r="AB110">
        <v>52</v>
      </c>
      <c r="AC110">
        <v>-43</v>
      </c>
      <c r="AD110">
        <v>36</v>
      </c>
      <c r="AE110">
        <v>62</v>
      </c>
      <c r="AF110">
        <v>2</v>
      </c>
      <c r="AG110">
        <v>34</v>
      </c>
    </row>
    <row r="111" spans="1:33">
      <c r="A111">
        <v>2013</v>
      </c>
      <c r="B111">
        <v>2</v>
      </c>
      <c r="C111" s="2" t="s">
        <v>140</v>
      </c>
      <c r="D111" s="3">
        <v>12</v>
      </c>
      <c r="E111" s="3">
        <v>63</v>
      </c>
      <c r="F111" s="3">
        <v>25</v>
      </c>
      <c r="G111" s="3">
        <v>-13</v>
      </c>
      <c r="H111" s="3">
        <v>8</v>
      </c>
      <c r="I111" s="3">
        <v>60</v>
      </c>
      <c r="J111" s="3">
        <v>32</v>
      </c>
      <c r="K111" s="3">
        <v>-24</v>
      </c>
      <c r="L111">
        <v>39</v>
      </c>
      <c r="M111">
        <v>56</v>
      </c>
      <c r="N111">
        <v>5</v>
      </c>
      <c r="O111">
        <v>34</v>
      </c>
      <c r="U111" s="3">
        <v>17</v>
      </c>
      <c r="V111" s="3">
        <v>81</v>
      </c>
      <c r="W111" s="3">
        <v>2</v>
      </c>
      <c r="X111" s="3">
        <v>15</v>
      </c>
      <c r="Y111">
        <f t="shared" si="1"/>
        <v>-17.333333333333332</v>
      </c>
      <c r="Z111">
        <v>12</v>
      </c>
      <c r="AA111">
        <v>55</v>
      </c>
      <c r="AB111">
        <v>33</v>
      </c>
      <c r="AC111">
        <v>-21</v>
      </c>
      <c r="AD111">
        <v>31</v>
      </c>
      <c r="AE111">
        <v>67</v>
      </c>
      <c r="AF111">
        <v>2</v>
      </c>
      <c r="AG111">
        <v>29</v>
      </c>
    </row>
    <row r="112" spans="1:33">
      <c r="A112">
        <v>2013</v>
      </c>
      <c r="B112">
        <v>3</v>
      </c>
      <c r="C112" s="2" t="s">
        <v>139</v>
      </c>
      <c r="D112" s="3">
        <v>26</v>
      </c>
      <c r="E112" s="3">
        <v>70</v>
      </c>
      <c r="F112" s="3">
        <v>4</v>
      </c>
      <c r="G112" s="3">
        <v>22</v>
      </c>
      <c r="H112" s="3">
        <v>5</v>
      </c>
      <c r="I112" s="3">
        <v>67</v>
      </c>
      <c r="J112" s="3">
        <v>28</v>
      </c>
      <c r="K112" s="3">
        <v>-23</v>
      </c>
      <c r="L112">
        <v>39</v>
      </c>
      <c r="M112">
        <v>56</v>
      </c>
      <c r="N112">
        <v>5</v>
      </c>
      <c r="O112">
        <v>34</v>
      </c>
      <c r="U112" s="3">
        <v>16</v>
      </c>
      <c r="V112" s="3">
        <v>82</v>
      </c>
      <c r="W112" s="3">
        <v>2</v>
      </c>
      <c r="X112" s="3">
        <v>14</v>
      </c>
      <c r="Y112">
        <f t="shared" si="1"/>
        <v>-5</v>
      </c>
      <c r="Z112">
        <v>45</v>
      </c>
      <c r="AA112">
        <v>44</v>
      </c>
      <c r="AB112">
        <v>11</v>
      </c>
      <c r="AC112">
        <v>34</v>
      </c>
      <c r="AD112">
        <v>32</v>
      </c>
      <c r="AE112">
        <v>66</v>
      </c>
      <c r="AF112">
        <v>2</v>
      </c>
      <c r="AG112">
        <v>30</v>
      </c>
    </row>
    <row r="113" spans="1:33">
      <c r="A113">
        <v>2013</v>
      </c>
      <c r="B113">
        <v>4</v>
      </c>
      <c r="C113" s="2" t="s">
        <v>138</v>
      </c>
      <c r="D113" s="3">
        <v>26</v>
      </c>
      <c r="E113" s="3">
        <v>69</v>
      </c>
      <c r="F113" s="3">
        <v>5</v>
      </c>
      <c r="G113" s="3">
        <v>21</v>
      </c>
      <c r="H113" s="3">
        <v>23</v>
      </c>
      <c r="I113" s="3">
        <v>66</v>
      </c>
      <c r="J113" s="3">
        <v>11</v>
      </c>
      <c r="K113" s="3">
        <v>12</v>
      </c>
      <c r="L113">
        <v>43</v>
      </c>
      <c r="M113">
        <v>53</v>
      </c>
      <c r="N113">
        <v>4</v>
      </c>
      <c r="O113">
        <v>39</v>
      </c>
      <c r="U113" s="3">
        <v>15</v>
      </c>
      <c r="V113" s="3">
        <v>83</v>
      </c>
      <c r="W113" s="3">
        <v>2</v>
      </c>
      <c r="X113" s="3">
        <v>13</v>
      </c>
      <c r="Y113">
        <f t="shared" si="1"/>
        <v>6.666666666666667</v>
      </c>
      <c r="Z113">
        <v>44</v>
      </c>
      <c r="AA113">
        <v>43</v>
      </c>
      <c r="AB113">
        <v>13</v>
      </c>
      <c r="AC113">
        <v>31</v>
      </c>
      <c r="AD113">
        <v>31</v>
      </c>
      <c r="AE113">
        <v>68</v>
      </c>
      <c r="AF113">
        <v>1</v>
      </c>
      <c r="AG113">
        <v>30</v>
      </c>
    </row>
    <row r="114" spans="1:33">
      <c r="A114">
        <v>2013</v>
      </c>
      <c r="B114">
        <v>5</v>
      </c>
      <c r="C114" s="2" t="s">
        <v>137</v>
      </c>
      <c r="D114" s="3">
        <v>33</v>
      </c>
      <c r="E114" s="3">
        <v>62</v>
      </c>
      <c r="F114" s="3">
        <v>5</v>
      </c>
      <c r="G114" s="3">
        <v>28</v>
      </c>
      <c r="H114" s="3">
        <v>17</v>
      </c>
      <c r="I114" s="3">
        <v>68</v>
      </c>
      <c r="J114" s="3">
        <v>15</v>
      </c>
      <c r="K114" s="3">
        <v>2</v>
      </c>
      <c r="L114">
        <v>41</v>
      </c>
      <c r="M114">
        <v>55</v>
      </c>
      <c r="N114">
        <v>4</v>
      </c>
      <c r="O114">
        <v>37</v>
      </c>
      <c r="U114" s="3">
        <v>14</v>
      </c>
      <c r="V114" s="3">
        <v>85</v>
      </c>
      <c r="W114" s="3">
        <v>1</v>
      </c>
      <c r="X114" s="3">
        <v>13</v>
      </c>
      <c r="Y114">
        <f t="shared" si="1"/>
        <v>5.666666666666667</v>
      </c>
      <c r="Z114">
        <v>49</v>
      </c>
      <c r="AA114">
        <v>36</v>
      </c>
      <c r="AB114">
        <v>15</v>
      </c>
      <c r="AC114">
        <v>34</v>
      </c>
      <c r="AD114">
        <v>29</v>
      </c>
      <c r="AE114">
        <v>70</v>
      </c>
      <c r="AF114">
        <v>1</v>
      </c>
      <c r="AG114">
        <v>28</v>
      </c>
    </row>
    <row r="115" spans="1:33">
      <c r="A115">
        <v>2013</v>
      </c>
      <c r="B115">
        <v>6</v>
      </c>
      <c r="C115" s="2" t="s">
        <v>136</v>
      </c>
      <c r="D115" s="3">
        <v>52</v>
      </c>
      <c r="E115" s="3">
        <v>43</v>
      </c>
      <c r="F115" s="3">
        <v>5</v>
      </c>
      <c r="G115" s="3">
        <v>47</v>
      </c>
      <c r="H115" s="3">
        <v>22</v>
      </c>
      <c r="I115" s="3">
        <v>62</v>
      </c>
      <c r="J115" s="3">
        <v>16</v>
      </c>
      <c r="K115" s="3">
        <v>6</v>
      </c>
      <c r="L115">
        <v>42</v>
      </c>
      <c r="M115">
        <v>53</v>
      </c>
      <c r="N115">
        <v>5</v>
      </c>
      <c r="O115">
        <v>37</v>
      </c>
      <c r="U115" s="3">
        <v>15</v>
      </c>
      <c r="V115" s="3">
        <v>83</v>
      </c>
      <c r="W115" s="3">
        <v>2</v>
      </c>
      <c r="X115" s="3">
        <v>13</v>
      </c>
      <c r="Y115">
        <f t="shared" si="1"/>
        <v>13.333333333333334</v>
      </c>
      <c r="Z115">
        <v>43</v>
      </c>
      <c r="AA115">
        <v>49</v>
      </c>
      <c r="AB115">
        <v>8</v>
      </c>
      <c r="AC115">
        <v>35</v>
      </c>
      <c r="AD115">
        <v>29</v>
      </c>
      <c r="AE115">
        <v>69</v>
      </c>
      <c r="AF115">
        <v>2</v>
      </c>
      <c r="AG115">
        <v>27</v>
      </c>
    </row>
    <row r="116" spans="1:33">
      <c r="A116">
        <v>2013</v>
      </c>
      <c r="B116">
        <v>7</v>
      </c>
      <c r="C116" s="2" t="s">
        <v>135</v>
      </c>
      <c r="D116" s="3">
        <v>23</v>
      </c>
      <c r="E116" s="3">
        <v>66</v>
      </c>
      <c r="F116" s="3">
        <v>11</v>
      </c>
      <c r="G116" s="3">
        <v>12</v>
      </c>
      <c r="H116" s="3">
        <v>27</v>
      </c>
      <c r="I116" s="3">
        <v>56</v>
      </c>
      <c r="J116" s="3">
        <v>17</v>
      </c>
      <c r="K116" s="3">
        <v>10</v>
      </c>
      <c r="L116">
        <v>51</v>
      </c>
      <c r="M116">
        <v>46</v>
      </c>
      <c r="N116">
        <v>3</v>
      </c>
      <c r="O116">
        <v>48</v>
      </c>
      <c r="U116" s="3">
        <v>15</v>
      </c>
      <c r="V116" s="3">
        <v>83</v>
      </c>
      <c r="W116" s="3">
        <v>2</v>
      </c>
      <c r="X116" s="3">
        <v>13</v>
      </c>
      <c r="Y116">
        <f t="shared" si="1"/>
        <v>3</v>
      </c>
      <c r="Z116">
        <v>23</v>
      </c>
      <c r="AA116">
        <v>68</v>
      </c>
      <c r="AB116">
        <v>9</v>
      </c>
      <c r="AC116">
        <v>14</v>
      </c>
      <c r="AD116">
        <v>22</v>
      </c>
      <c r="AE116">
        <v>76</v>
      </c>
      <c r="AF116">
        <v>2</v>
      </c>
      <c r="AG116">
        <v>20</v>
      </c>
    </row>
    <row r="117" spans="1:33">
      <c r="A117">
        <v>2013</v>
      </c>
      <c r="B117">
        <v>8</v>
      </c>
      <c r="C117" s="2" t="s">
        <v>134</v>
      </c>
      <c r="D117" s="3">
        <v>15</v>
      </c>
      <c r="E117" s="3">
        <v>73</v>
      </c>
      <c r="F117" s="3">
        <v>12</v>
      </c>
      <c r="G117" s="3">
        <v>3</v>
      </c>
      <c r="H117" s="3">
        <v>39</v>
      </c>
      <c r="I117" s="3">
        <v>55</v>
      </c>
      <c r="J117" s="3">
        <v>6</v>
      </c>
      <c r="K117" s="3">
        <v>33</v>
      </c>
      <c r="L117">
        <v>50</v>
      </c>
      <c r="M117">
        <v>47</v>
      </c>
      <c r="N117">
        <v>3</v>
      </c>
      <c r="O117">
        <v>47</v>
      </c>
      <c r="U117" s="3">
        <v>11</v>
      </c>
      <c r="V117" s="3">
        <v>88</v>
      </c>
      <c r="W117" s="3">
        <v>1</v>
      </c>
      <c r="X117" s="3">
        <v>10</v>
      </c>
      <c r="Y117">
        <f t="shared" si="1"/>
        <v>8.6666666666666661</v>
      </c>
      <c r="Z117">
        <v>18</v>
      </c>
      <c r="AA117">
        <v>74</v>
      </c>
      <c r="AB117">
        <v>8</v>
      </c>
      <c r="AC117">
        <v>10</v>
      </c>
      <c r="AD117">
        <v>31</v>
      </c>
      <c r="AE117">
        <v>68</v>
      </c>
      <c r="AF117">
        <v>1</v>
      </c>
      <c r="AG117">
        <v>30</v>
      </c>
    </row>
    <row r="118" spans="1:33">
      <c r="A118">
        <v>2013</v>
      </c>
      <c r="B118">
        <v>9</v>
      </c>
      <c r="C118" s="2" t="s">
        <v>133</v>
      </c>
      <c r="D118" s="3">
        <v>15</v>
      </c>
      <c r="E118" s="3">
        <v>58</v>
      </c>
      <c r="F118" s="3">
        <v>27</v>
      </c>
      <c r="G118" s="3">
        <v>-12</v>
      </c>
      <c r="H118" s="3">
        <v>23</v>
      </c>
      <c r="I118" s="3">
        <v>68</v>
      </c>
      <c r="J118" s="3">
        <v>9</v>
      </c>
      <c r="K118" s="3">
        <v>14</v>
      </c>
      <c r="L118">
        <v>51</v>
      </c>
      <c r="M118">
        <v>47</v>
      </c>
      <c r="N118">
        <v>2</v>
      </c>
      <c r="O118">
        <v>49</v>
      </c>
      <c r="U118" s="3">
        <v>11</v>
      </c>
      <c r="V118" s="3">
        <v>87</v>
      </c>
      <c r="W118" s="3">
        <v>2</v>
      </c>
      <c r="X118" s="3">
        <v>9</v>
      </c>
      <c r="Y118">
        <f t="shared" si="1"/>
        <v>-2.3333333333333335</v>
      </c>
      <c r="Z118">
        <v>20</v>
      </c>
      <c r="AA118">
        <v>46</v>
      </c>
      <c r="AB118">
        <v>34</v>
      </c>
      <c r="AC118">
        <v>-14</v>
      </c>
      <c r="AD118">
        <v>38</v>
      </c>
      <c r="AE118">
        <v>60</v>
      </c>
      <c r="AF118">
        <v>2</v>
      </c>
      <c r="AG118">
        <v>36</v>
      </c>
    </row>
    <row r="119" spans="1:33">
      <c r="A119">
        <v>2013</v>
      </c>
      <c r="B119">
        <v>10</v>
      </c>
      <c r="C119" s="2" t="s">
        <v>132</v>
      </c>
      <c r="D119" s="3">
        <v>15</v>
      </c>
      <c r="E119" s="3">
        <v>65</v>
      </c>
      <c r="F119" s="3">
        <v>20</v>
      </c>
      <c r="G119" s="3">
        <v>-5</v>
      </c>
      <c r="H119" s="3">
        <v>27</v>
      </c>
      <c r="I119" s="3">
        <v>58</v>
      </c>
      <c r="J119" s="3">
        <v>15</v>
      </c>
      <c r="K119" s="3">
        <v>12</v>
      </c>
      <c r="L119">
        <v>43</v>
      </c>
      <c r="M119">
        <v>54</v>
      </c>
      <c r="N119">
        <v>3</v>
      </c>
      <c r="O119">
        <v>40</v>
      </c>
      <c r="U119" s="3">
        <v>12</v>
      </c>
      <c r="V119" s="3">
        <v>86</v>
      </c>
      <c r="W119" s="3">
        <v>2</v>
      </c>
      <c r="X119" s="3">
        <v>10</v>
      </c>
      <c r="Y119">
        <f t="shared" si="1"/>
        <v>-1</v>
      </c>
      <c r="Z119">
        <v>28</v>
      </c>
      <c r="AA119">
        <v>47</v>
      </c>
      <c r="AB119">
        <v>25</v>
      </c>
      <c r="AC119">
        <v>3</v>
      </c>
      <c r="AD119">
        <v>22</v>
      </c>
      <c r="AE119">
        <v>75</v>
      </c>
      <c r="AF119">
        <v>3</v>
      </c>
      <c r="AG119">
        <v>19</v>
      </c>
    </row>
    <row r="120" spans="1:33">
      <c r="A120">
        <v>2013</v>
      </c>
      <c r="B120">
        <v>11</v>
      </c>
      <c r="C120" s="2" t="s">
        <v>131</v>
      </c>
      <c r="D120" s="3">
        <v>10</v>
      </c>
      <c r="E120" s="3">
        <v>70</v>
      </c>
      <c r="F120" s="3">
        <v>20</v>
      </c>
      <c r="G120" s="3">
        <v>-10</v>
      </c>
      <c r="H120" s="3">
        <v>19</v>
      </c>
      <c r="I120" s="3">
        <v>66</v>
      </c>
      <c r="J120" s="3">
        <v>15</v>
      </c>
      <c r="K120" s="3">
        <v>4</v>
      </c>
      <c r="L120">
        <v>50</v>
      </c>
      <c r="M120">
        <v>48</v>
      </c>
      <c r="N120">
        <v>2</v>
      </c>
      <c r="O120">
        <v>48</v>
      </c>
      <c r="U120" s="3">
        <v>7</v>
      </c>
      <c r="V120" s="3">
        <v>91</v>
      </c>
      <c r="W120" s="3">
        <v>2</v>
      </c>
      <c r="X120" s="3">
        <v>5</v>
      </c>
      <c r="Y120">
        <f t="shared" si="1"/>
        <v>-3.6666666666666665</v>
      </c>
      <c r="Z120">
        <v>46</v>
      </c>
      <c r="AA120">
        <v>34</v>
      </c>
      <c r="AB120">
        <v>20</v>
      </c>
      <c r="AC120">
        <v>26</v>
      </c>
      <c r="AD120">
        <v>24</v>
      </c>
      <c r="AE120">
        <v>73</v>
      </c>
      <c r="AF120">
        <v>3</v>
      </c>
      <c r="AG120">
        <v>21</v>
      </c>
    </row>
    <row r="121" spans="1:33">
      <c r="A121">
        <v>2013</v>
      </c>
      <c r="B121">
        <v>12</v>
      </c>
      <c r="C121" s="2" t="s">
        <v>130</v>
      </c>
      <c r="D121" s="3">
        <v>9</v>
      </c>
      <c r="E121" s="3">
        <v>68</v>
      </c>
      <c r="F121" s="3">
        <v>23</v>
      </c>
      <c r="G121" s="3">
        <v>-14</v>
      </c>
      <c r="H121" s="3">
        <v>17</v>
      </c>
      <c r="I121" s="3">
        <v>47</v>
      </c>
      <c r="J121" s="3">
        <v>36</v>
      </c>
      <c r="K121" s="3">
        <v>-19</v>
      </c>
      <c r="L121">
        <v>54</v>
      </c>
      <c r="M121">
        <v>43</v>
      </c>
      <c r="N121">
        <v>3</v>
      </c>
      <c r="O121">
        <v>51</v>
      </c>
      <c r="U121" s="3">
        <v>3</v>
      </c>
      <c r="V121" s="3">
        <v>95</v>
      </c>
      <c r="W121" s="3">
        <v>2</v>
      </c>
      <c r="X121" s="3">
        <v>1</v>
      </c>
      <c r="Y121">
        <f t="shared" si="1"/>
        <v>-11.333333333333334</v>
      </c>
      <c r="Z121">
        <v>20</v>
      </c>
      <c r="AA121">
        <v>36</v>
      </c>
      <c r="AB121">
        <v>44</v>
      </c>
      <c r="AC121">
        <v>-24</v>
      </c>
      <c r="AD121">
        <v>23</v>
      </c>
      <c r="AE121">
        <v>74</v>
      </c>
      <c r="AF121">
        <v>3</v>
      </c>
      <c r="AG121">
        <v>20</v>
      </c>
    </row>
    <row r="122" spans="1:33">
      <c r="A122">
        <v>2014</v>
      </c>
      <c r="B122">
        <v>1</v>
      </c>
      <c r="C122" s="2" t="s">
        <v>129</v>
      </c>
      <c r="D122" s="3">
        <v>6</v>
      </c>
      <c r="E122" s="3">
        <v>76</v>
      </c>
      <c r="F122" s="3">
        <v>18</v>
      </c>
      <c r="G122" s="3">
        <v>-12</v>
      </c>
      <c r="H122" s="3">
        <v>13</v>
      </c>
      <c r="I122" s="3">
        <v>69</v>
      </c>
      <c r="J122" s="3">
        <v>18</v>
      </c>
      <c r="K122" s="3">
        <v>-5</v>
      </c>
      <c r="L122">
        <v>55</v>
      </c>
      <c r="M122">
        <v>42</v>
      </c>
      <c r="N122">
        <v>3</v>
      </c>
      <c r="O122">
        <v>52</v>
      </c>
      <c r="U122" s="3">
        <v>3</v>
      </c>
      <c r="V122" s="3">
        <v>95</v>
      </c>
      <c r="W122" s="3">
        <v>2</v>
      </c>
      <c r="X122" s="3">
        <v>1</v>
      </c>
      <c r="Y122">
        <f t="shared" si="1"/>
        <v>-6</v>
      </c>
      <c r="Z122">
        <v>20</v>
      </c>
      <c r="AA122">
        <v>39</v>
      </c>
      <c r="AB122">
        <v>41</v>
      </c>
      <c r="AC122">
        <v>-21</v>
      </c>
      <c r="AD122">
        <v>22</v>
      </c>
      <c r="AE122">
        <v>74</v>
      </c>
      <c r="AF122">
        <v>4</v>
      </c>
      <c r="AG122">
        <v>18</v>
      </c>
    </row>
    <row r="123" spans="1:33">
      <c r="A123">
        <v>2014</v>
      </c>
      <c r="B123">
        <v>2</v>
      </c>
      <c r="C123" s="2" t="s">
        <v>128</v>
      </c>
      <c r="D123" s="3">
        <v>11</v>
      </c>
      <c r="E123" s="3">
        <v>84</v>
      </c>
      <c r="F123" s="3">
        <v>5</v>
      </c>
      <c r="G123" s="3">
        <v>6</v>
      </c>
      <c r="H123" s="3">
        <v>7</v>
      </c>
      <c r="I123" s="3">
        <v>72</v>
      </c>
      <c r="J123" s="3">
        <v>21</v>
      </c>
      <c r="K123" s="3">
        <v>-14</v>
      </c>
      <c r="L123">
        <v>56</v>
      </c>
      <c r="M123">
        <v>42</v>
      </c>
      <c r="N123">
        <v>2</v>
      </c>
      <c r="O123">
        <v>54</v>
      </c>
      <c r="U123" s="3">
        <v>3</v>
      </c>
      <c r="V123" s="3">
        <v>95</v>
      </c>
      <c r="W123" s="3">
        <v>2</v>
      </c>
      <c r="X123" s="3">
        <v>1</v>
      </c>
      <c r="Y123">
        <f t="shared" si="1"/>
        <v>-3</v>
      </c>
      <c r="Z123">
        <v>30</v>
      </c>
      <c r="AA123">
        <v>60</v>
      </c>
      <c r="AB123">
        <v>10</v>
      </c>
      <c r="AC123">
        <v>20</v>
      </c>
      <c r="AD123">
        <v>19</v>
      </c>
      <c r="AE123">
        <v>79</v>
      </c>
      <c r="AF123">
        <v>2</v>
      </c>
      <c r="AG123">
        <v>17</v>
      </c>
    </row>
    <row r="124" spans="1:33">
      <c r="A124">
        <v>2014</v>
      </c>
      <c r="B124">
        <v>3</v>
      </c>
      <c r="C124" s="2" t="s">
        <v>127</v>
      </c>
      <c r="D124" s="3">
        <v>19</v>
      </c>
      <c r="E124" s="3">
        <v>78</v>
      </c>
      <c r="F124" s="3">
        <v>3</v>
      </c>
      <c r="G124" s="3">
        <v>16</v>
      </c>
      <c r="H124" s="3">
        <v>10</v>
      </c>
      <c r="I124" s="3">
        <v>71</v>
      </c>
      <c r="J124" s="3">
        <v>19</v>
      </c>
      <c r="K124" s="3">
        <v>-9</v>
      </c>
      <c r="L124">
        <v>54</v>
      </c>
      <c r="M124">
        <v>43</v>
      </c>
      <c r="N124">
        <v>3</v>
      </c>
      <c r="O124">
        <v>51</v>
      </c>
      <c r="U124" s="3">
        <v>2</v>
      </c>
      <c r="V124" s="3">
        <v>97</v>
      </c>
      <c r="W124" s="3">
        <v>1</v>
      </c>
      <c r="X124" s="3">
        <v>1</v>
      </c>
      <c r="Y124">
        <f t="shared" si="1"/>
        <v>2</v>
      </c>
      <c r="Z124">
        <v>47</v>
      </c>
      <c r="AA124">
        <v>45</v>
      </c>
      <c r="AB124">
        <v>8</v>
      </c>
      <c r="AC124">
        <v>39</v>
      </c>
      <c r="AD124">
        <v>21</v>
      </c>
      <c r="AE124">
        <v>77</v>
      </c>
      <c r="AF124">
        <v>2</v>
      </c>
      <c r="AG124">
        <v>19</v>
      </c>
    </row>
    <row r="125" spans="1:33">
      <c r="A125">
        <v>2014</v>
      </c>
      <c r="B125">
        <v>4</v>
      </c>
      <c r="C125" s="2" t="s">
        <v>126</v>
      </c>
      <c r="D125" s="3">
        <v>30</v>
      </c>
      <c r="E125" s="3">
        <v>67</v>
      </c>
      <c r="F125" s="3">
        <v>3</v>
      </c>
      <c r="G125" s="3">
        <v>27</v>
      </c>
      <c r="H125" s="3">
        <v>12</v>
      </c>
      <c r="I125" s="3">
        <v>79</v>
      </c>
      <c r="J125" s="3">
        <v>9</v>
      </c>
      <c r="K125" s="3">
        <v>3</v>
      </c>
      <c r="L125">
        <v>53</v>
      </c>
      <c r="M125">
        <v>45</v>
      </c>
      <c r="N125">
        <v>2</v>
      </c>
      <c r="O125">
        <v>51</v>
      </c>
      <c r="U125" s="3">
        <v>3</v>
      </c>
      <c r="V125" s="3">
        <v>95</v>
      </c>
      <c r="W125" s="3">
        <v>2</v>
      </c>
      <c r="X125" s="3">
        <v>1</v>
      </c>
      <c r="Y125">
        <f t="shared" si="1"/>
        <v>9.6666666666666661</v>
      </c>
      <c r="Z125">
        <v>33</v>
      </c>
      <c r="AA125">
        <v>60</v>
      </c>
      <c r="AB125">
        <v>7</v>
      </c>
      <c r="AC125">
        <v>26</v>
      </c>
      <c r="AD125">
        <v>20</v>
      </c>
      <c r="AE125">
        <v>77</v>
      </c>
      <c r="AF125">
        <v>3</v>
      </c>
      <c r="AG125">
        <v>17</v>
      </c>
    </row>
    <row r="126" spans="1:33">
      <c r="A126">
        <v>2014</v>
      </c>
      <c r="B126">
        <v>5</v>
      </c>
      <c r="C126" s="2" t="s">
        <v>125</v>
      </c>
      <c r="D126" s="3">
        <v>24</v>
      </c>
      <c r="E126" s="3">
        <v>72</v>
      </c>
      <c r="F126" s="3">
        <v>4</v>
      </c>
      <c r="G126" s="3">
        <v>20</v>
      </c>
      <c r="H126" s="3">
        <v>18</v>
      </c>
      <c r="I126" s="3">
        <v>75</v>
      </c>
      <c r="J126" s="3">
        <v>7</v>
      </c>
      <c r="K126" s="3">
        <v>11</v>
      </c>
      <c r="L126">
        <v>53</v>
      </c>
      <c r="M126">
        <v>44</v>
      </c>
      <c r="N126">
        <v>3</v>
      </c>
      <c r="O126">
        <v>50</v>
      </c>
      <c r="U126" s="3">
        <v>3</v>
      </c>
      <c r="V126" s="3">
        <v>95</v>
      </c>
      <c r="W126" s="3">
        <v>2</v>
      </c>
      <c r="X126" s="3">
        <v>1</v>
      </c>
      <c r="Y126">
        <f t="shared" si="1"/>
        <v>10</v>
      </c>
      <c r="Z126">
        <v>49</v>
      </c>
      <c r="AA126">
        <v>39</v>
      </c>
      <c r="AB126">
        <v>12</v>
      </c>
      <c r="AC126">
        <v>37</v>
      </c>
      <c r="AD126">
        <v>19</v>
      </c>
      <c r="AE126">
        <v>79</v>
      </c>
      <c r="AF126">
        <v>2</v>
      </c>
      <c r="AG126">
        <v>17</v>
      </c>
    </row>
    <row r="127" spans="1:33">
      <c r="A127">
        <v>2014</v>
      </c>
      <c r="B127">
        <v>6</v>
      </c>
      <c r="C127" s="2" t="s">
        <v>124</v>
      </c>
      <c r="D127" s="3">
        <v>25</v>
      </c>
      <c r="E127" s="3">
        <v>71</v>
      </c>
      <c r="F127" s="3">
        <v>4</v>
      </c>
      <c r="G127" s="3">
        <v>21</v>
      </c>
      <c r="H127" s="3">
        <v>14</v>
      </c>
      <c r="I127" s="3">
        <v>81</v>
      </c>
      <c r="J127" s="3">
        <v>5</v>
      </c>
      <c r="K127" s="3">
        <v>9</v>
      </c>
      <c r="L127">
        <v>55</v>
      </c>
      <c r="M127">
        <v>41</v>
      </c>
      <c r="N127">
        <v>4</v>
      </c>
      <c r="O127">
        <v>51</v>
      </c>
      <c r="U127" s="3">
        <v>6</v>
      </c>
      <c r="V127" s="3">
        <v>92</v>
      </c>
      <c r="W127" s="3">
        <v>2</v>
      </c>
      <c r="X127" s="3">
        <v>4</v>
      </c>
      <c r="Y127">
        <f t="shared" si="1"/>
        <v>8.6666666666666661</v>
      </c>
      <c r="Z127">
        <v>30</v>
      </c>
      <c r="AA127">
        <v>58</v>
      </c>
      <c r="AB127">
        <v>12</v>
      </c>
      <c r="AC127">
        <v>18</v>
      </c>
      <c r="AD127">
        <v>19</v>
      </c>
      <c r="AE127">
        <v>78</v>
      </c>
      <c r="AF127">
        <v>3</v>
      </c>
      <c r="AG127">
        <v>16</v>
      </c>
    </row>
    <row r="128" spans="1:33">
      <c r="A128">
        <v>2014</v>
      </c>
      <c r="B128">
        <v>7</v>
      </c>
      <c r="C128" s="2" t="s">
        <v>123</v>
      </c>
      <c r="D128" s="3">
        <v>22</v>
      </c>
      <c r="E128" s="3">
        <v>74</v>
      </c>
      <c r="F128" s="3">
        <v>4</v>
      </c>
      <c r="G128" s="3">
        <v>18</v>
      </c>
      <c r="H128" s="3">
        <v>22</v>
      </c>
      <c r="I128" s="3">
        <v>56</v>
      </c>
      <c r="J128" s="3">
        <v>22</v>
      </c>
      <c r="K128" s="3">
        <v>0</v>
      </c>
      <c r="L128">
        <v>56</v>
      </c>
      <c r="M128">
        <v>41</v>
      </c>
      <c r="N128">
        <v>3</v>
      </c>
      <c r="O128">
        <v>53</v>
      </c>
      <c r="U128" s="3">
        <v>6</v>
      </c>
      <c r="V128" s="3">
        <v>92</v>
      </c>
      <c r="W128" s="3">
        <v>2</v>
      </c>
      <c r="X128" s="3">
        <v>4</v>
      </c>
      <c r="Y128">
        <f t="shared" si="1"/>
        <v>4.666666666666667</v>
      </c>
      <c r="Z128">
        <v>29</v>
      </c>
      <c r="AA128">
        <v>62</v>
      </c>
      <c r="AB128">
        <v>9</v>
      </c>
      <c r="AC128">
        <v>20</v>
      </c>
      <c r="AD128">
        <v>19</v>
      </c>
      <c r="AE128">
        <v>79</v>
      </c>
      <c r="AF128">
        <v>2</v>
      </c>
      <c r="AG128">
        <v>17</v>
      </c>
    </row>
    <row r="129" spans="1:33">
      <c r="A129">
        <v>2014</v>
      </c>
      <c r="B129">
        <v>8</v>
      </c>
      <c r="C129" s="2" t="s">
        <v>122</v>
      </c>
      <c r="D129" s="3">
        <v>20</v>
      </c>
      <c r="E129" s="3">
        <v>76</v>
      </c>
      <c r="F129" s="3">
        <v>4</v>
      </c>
      <c r="G129" s="3">
        <v>16</v>
      </c>
      <c r="H129" s="3">
        <v>28</v>
      </c>
      <c r="I129" s="3">
        <v>68</v>
      </c>
      <c r="J129" s="3">
        <v>4</v>
      </c>
      <c r="K129" s="3">
        <v>24</v>
      </c>
      <c r="L129">
        <v>66</v>
      </c>
      <c r="M129">
        <v>32</v>
      </c>
      <c r="N129">
        <v>2</v>
      </c>
      <c r="O129">
        <v>64</v>
      </c>
      <c r="U129" s="3">
        <v>6</v>
      </c>
      <c r="V129" s="3">
        <v>92</v>
      </c>
      <c r="W129" s="3">
        <v>2</v>
      </c>
      <c r="X129" s="3">
        <v>4</v>
      </c>
      <c r="Y129">
        <f t="shared" si="1"/>
        <v>12</v>
      </c>
      <c r="Z129">
        <v>15</v>
      </c>
      <c r="AA129">
        <v>76</v>
      </c>
      <c r="AB129">
        <v>9</v>
      </c>
      <c r="AC129">
        <v>6</v>
      </c>
      <c r="AD129">
        <v>21</v>
      </c>
      <c r="AE129">
        <v>78</v>
      </c>
      <c r="AF129">
        <v>1</v>
      </c>
      <c r="AG129">
        <v>20</v>
      </c>
    </row>
    <row r="130" spans="1:33">
      <c r="A130">
        <v>2014</v>
      </c>
      <c r="B130">
        <v>9</v>
      </c>
      <c r="C130" s="2" t="s">
        <v>121</v>
      </c>
      <c r="D130" s="3">
        <v>8</v>
      </c>
      <c r="E130" s="3">
        <v>78</v>
      </c>
      <c r="F130" s="3">
        <v>14</v>
      </c>
      <c r="G130" s="3">
        <v>-6</v>
      </c>
      <c r="H130" s="3">
        <v>28</v>
      </c>
      <c r="I130" s="3">
        <v>65</v>
      </c>
      <c r="J130" s="3">
        <v>7</v>
      </c>
      <c r="K130" s="3">
        <v>21</v>
      </c>
      <c r="L130">
        <v>55</v>
      </c>
      <c r="M130">
        <v>43</v>
      </c>
      <c r="N130">
        <v>2</v>
      </c>
      <c r="O130">
        <v>53</v>
      </c>
      <c r="U130" s="3">
        <v>6</v>
      </c>
      <c r="V130" s="3">
        <v>92</v>
      </c>
      <c r="W130" s="3">
        <v>2</v>
      </c>
      <c r="X130" s="3">
        <v>4</v>
      </c>
      <c r="Y130">
        <f t="shared" si="1"/>
        <v>3.6666666666666665</v>
      </c>
      <c r="Z130">
        <v>14</v>
      </c>
      <c r="AA130">
        <v>67</v>
      </c>
      <c r="AB130">
        <v>19</v>
      </c>
      <c r="AC130">
        <v>-5</v>
      </c>
      <c r="AD130">
        <v>4</v>
      </c>
      <c r="AE130">
        <v>95</v>
      </c>
      <c r="AF130">
        <v>1</v>
      </c>
      <c r="AG130">
        <v>3</v>
      </c>
    </row>
    <row r="131" spans="1:33">
      <c r="A131">
        <v>2014</v>
      </c>
      <c r="B131">
        <v>10</v>
      </c>
      <c r="C131" s="2" t="s">
        <v>120</v>
      </c>
      <c r="D131" s="3">
        <v>13</v>
      </c>
      <c r="E131" s="3">
        <v>73</v>
      </c>
      <c r="F131" s="3">
        <v>14</v>
      </c>
      <c r="G131" s="3">
        <v>-1</v>
      </c>
      <c r="H131" s="3">
        <v>12</v>
      </c>
      <c r="I131" s="3">
        <v>83</v>
      </c>
      <c r="J131" s="3">
        <v>5</v>
      </c>
      <c r="K131" s="3">
        <v>7</v>
      </c>
      <c r="L131">
        <v>56</v>
      </c>
      <c r="M131">
        <v>42</v>
      </c>
      <c r="N131">
        <v>2</v>
      </c>
      <c r="O131">
        <v>54</v>
      </c>
      <c r="U131" s="3">
        <v>6</v>
      </c>
      <c r="V131" s="3">
        <v>92</v>
      </c>
      <c r="W131" s="3">
        <v>2</v>
      </c>
      <c r="X131" s="3">
        <v>4</v>
      </c>
      <c r="Y131">
        <f t="shared" ref="Y131:Y194" si="2">(G131+K131-X131)/3</f>
        <v>0.66666666666666663</v>
      </c>
      <c r="Z131">
        <v>20</v>
      </c>
      <c r="AA131">
        <v>59</v>
      </c>
      <c r="AB131">
        <v>21</v>
      </c>
      <c r="AC131">
        <v>-1</v>
      </c>
      <c r="AD131">
        <v>2</v>
      </c>
      <c r="AE131">
        <v>96</v>
      </c>
      <c r="AF131">
        <v>2</v>
      </c>
      <c r="AG131">
        <v>0</v>
      </c>
    </row>
    <row r="132" spans="1:33">
      <c r="A132">
        <v>2014</v>
      </c>
      <c r="B132">
        <v>11</v>
      </c>
      <c r="C132" s="2" t="s">
        <v>119</v>
      </c>
      <c r="D132" s="3">
        <v>13</v>
      </c>
      <c r="E132" s="3">
        <v>66</v>
      </c>
      <c r="F132" s="3">
        <v>21</v>
      </c>
      <c r="G132" s="3">
        <v>-8</v>
      </c>
      <c r="H132" s="3">
        <v>13</v>
      </c>
      <c r="I132" s="3">
        <v>82</v>
      </c>
      <c r="J132" s="3">
        <v>5</v>
      </c>
      <c r="K132" s="3">
        <v>8</v>
      </c>
      <c r="L132">
        <v>60</v>
      </c>
      <c r="M132">
        <v>38</v>
      </c>
      <c r="N132">
        <v>2</v>
      </c>
      <c r="O132">
        <v>58</v>
      </c>
      <c r="U132" s="3">
        <v>6</v>
      </c>
      <c r="V132" s="3">
        <v>92</v>
      </c>
      <c r="W132" s="3">
        <v>2</v>
      </c>
      <c r="X132" s="3">
        <v>4</v>
      </c>
      <c r="Y132">
        <f t="shared" si="2"/>
        <v>-1.3333333333333333</v>
      </c>
      <c r="Z132">
        <v>21</v>
      </c>
      <c r="AA132">
        <v>53</v>
      </c>
      <c r="AB132">
        <v>26</v>
      </c>
      <c r="AC132">
        <v>-5</v>
      </c>
      <c r="AD132">
        <v>2</v>
      </c>
      <c r="AE132">
        <v>90</v>
      </c>
      <c r="AF132">
        <v>8</v>
      </c>
      <c r="AG132">
        <v>-6</v>
      </c>
    </row>
    <row r="133" spans="1:33">
      <c r="A133">
        <v>2014</v>
      </c>
      <c r="B133">
        <v>12</v>
      </c>
      <c r="C133" s="2" t="s">
        <v>118</v>
      </c>
      <c r="D133" s="3">
        <v>12</v>
      </c>
      <c r="E133" s="3">
        <v>66</v>
      </c>
      <c r="F133" s="3">
        <v>22</v>
      </c>
      <c r="G133" s="3">
        <v>-10</v>
      </c>
      <c r="H133" s="3">
        <v>11</v>
      </c>
      <c r="I133" s="3">
        <v>73</v>
      </c>
      <c r="J133" s="3">
        <v>16</v>
      </c>
      <c r="K133" s="3">
        <v>-5</v>
      </c>
      <c r="L133">
        <v>61</v>
      </c>
      <c r="M133">
        <v>37</v>
      </c>
      <c r="N133">
        <v>2</v>
      </c>
      <c r="O133">
        <v>59</v>
      </c>
      <c r="U133" s="3">
        <v>6</v>
      </c>
      <c r="V133" s="3">
        <v>92</v>
      </c>
      <c r="W133" s="3">
        <v>2</v>
      </c>
      <c r="X133" s="3">
        <v>4</v>
      </c>
      <c r="Y133">
        <f t="shared" si="2"/>
        <v>-6.333333333333333</v>
      </c>
      <c r="Z133">
        <v>17</v>
      </c>
      <c r="AA133">
        <v>56</v>
      </c>
      <c r="AB133">
        <v>27</v>
      </c>
      <c r="AC133">
        <v>-10</v>
      </c>
      <c r="AD133">
        <v>4</v>
      </c>
      <c r="AE133">
        <v>77</v>
      </c>
      <c r="AF133">
        <v>19</v>
      </c>
      <c r="AG133">
        <v>-15</v>
      </c>
    </row>
    <row r="134" spans="1:33">
      <c r="A134">
        <v>2015</v>
      </c>
      <c r="B134">
        <v>1</v>
      </c>
      <c r="C134" s="2" t="s">
        <v>117</v>
      </c>
      <c r="D134" s="3">
        <v>3</v>
      </c>
      <c r="E134" s="3">
        <v>78</v>
      </c>
      <c r="F134" s="3">
        <v>19</v>
      </c>
      <c r="G134" s="3">
        <v>-16</v>
      </c>
      <c r="H134" s="3">
        <v>13</v>
      </c>
      <c r="I134" s="3">
        <v>72</v>
      </c>
      <c r="J134" s="3">
        <v>15</v>
      </c>
      <c r="K134" s="3">
        <v>-2</v>
      </c>
      <c r="L134">
        <v>58</v>
      </c>
      <c r="M134">
        <v>40</v>
      </c>
      <c r="N134">
        <v>2</v>
      </c>
      <c r="O134">
        <v>56</v>
      </c>
      <c r="U134" s="3">
        <v>3</v>
      </c>
      <c r="V134" s="3">
        <v>96</v>
      </c>
      <c r="W134" s="3">
        <v>1</v>
      </c>
      <c r="X134" s="3">
        <v>2</v>
      </c>
      <c r="Y134">
        <f t="shared" si="2"/>
        <v>-6.666666666666667</v>
      </c>
      <c r="Z134">
        <v>9</v>
      </c>
      <c r="AA134">
        <v>72</v>
      </c>
      <c r="AB134">
        <v>19</v>
      </c>
      <c r="AC134">
        <v>-10</v>
      </c>
      <c r="AD134">
        <v>2</v>
      </c>
      <c r="AE134">
        <v>82</v>
      </c>
      <c r="AF134">
        <v>16</v>
      </c>
      <c r="AG134">
        <v>-14</v>
      </c>
    </row>
    <row r="135" spans="1:33">
      <c r="A135">
        <v>2015</v>
      </c>
      <c r="B135">
        <v>2</v>
      </c>
      <c r="C135" s="2" t="s">
        <v>116</v>
      </c>
      <c r="D135" s="3">
        <v>11</v>
      </c>
      <c r="E135" s="3">
        <v>72</v>
      </c>
      <c r="F135" s="3">
        <v>17</v>
      </c>
      <c r="G135" s="3">
        <v>-6</v>
      </c>
      <c r="H135" s="3">
        <v>10</v>
      </c>
      <c r="I135" s="3">
        <v>71</v>
      </c>
      <c r="J135" s="3">
        <v>19</v>
      </c>
      <c r="K135" s="3">
        <v>-9</v>
      </c>
      <c r="L135">
        <v>52</v>
      </c>
      <c r="M135">
        <v>46</v>
      </c>
      <c r="N135">
        <v>2</v>
      </c>
      <c r="O135">
        <v>50</v>
      </c>
      <c r="U135" s="3">
        <v>4</v>
      </c>
      <c r="V135" s="3">
        <v>95</v>
      </c>
      <c r="W135" s="3">
        <v>1</v>
      </c>
      <c r="X135" s="3">
        <v>3</v>
      </c>
      <c r="Y135">
        <f t="shared" si="2"/>
        <v>-6</v>
      </c>
      <c r="Z135">
        <v>13</v>
      </c>
      <c r="AA135">
        <v>69</v>
      </c>
      <c r="AB135">
        <v>18</v>
      </c>
      <c r="AC135">
        <v>-5</v>
      </c>
      <c r="AD135">
        <v>4</v>
      </c>
      <c r="AE135">
        <v>93</v>
      </c>
      <c r="AF135">
        <v>3</v>
      </c>
      <c r="AG135">
        <v>1</v>
      </c>
    </row>
    <row r="136" spans="1:33">
      <c r="A136">
        <v>2015</v>
      </c>
      <c r="B136">
        <v>3</v>
      </c>
      <c r="C136" s="2" t="s">
        <v>115</v>
      </c>
      <c r="D136" s="3">
        <v>19</v>
      </c>
      <c r="E136" s="3">
        <v>76</v>
      </c>
      <c r="F136" s="3">
        <v>5</v>
      </c>
      <c r="G136" s="3">
        <v>14</v>
      </c>
      <c r="H136" s="3">
        <v>5</v>
      </c>
      <c r="I136" s="3">
        <v>69</v>
      </c>
      <c r="J136" s="3">
        <v>26</v>
      </c>
      <c r="K136" s="3">
        <v>-21</v>
      </c>
      <c r="L136">
        <v>51</v>
      </c>
      <c r="M136">
        <v>47</v>
      </c>
      <c r="N136">
        <v>2</v>
      </c>
      <c r="O136">
        <v>49</v>
      </c>
      <c r="U136" s="3">
        <v>7</v>
      </c>
      <c r="V136" s="3">
        <v>92</v>
      </c>
      <c r="W136" s="3">
        <v>1</v>
      </c>
      <c r="X136" s="3">
        <v>6</v>
      </c>
      <c r="Y136">
        <f t="shared" si="2"/>
        <v>-4.333333333333333</v>
      </c>
      <c r="Z136">
        <v>10</v>
      </c>
      <c r="AA136">
        <v>75</v>
      </c>
      <c r="AB136">
        <v>15</v>
      </c>
      <c r="AC136">
        <v>-5</v>
      </c>
      <c r="AD136">
        <v>8</v>
      </c>
      <c r="AE136">
        <v>90</v>
      </c>
      <c r="AF136">
        <v>2</v>
      </c>
      <c r="AG136">
        <v>6</v>
      </c>
    </row>
    <row r="137" spans="1:33">
      <c r="A137">
        <v>2015</v>
      </c>
      <c r="B137">
        <v>4</v>
      </c>
      <c r="C137" s="2" t="s">
        <v>114</v>
      </c>
      <c r="D137" s="3">
        <v>17</v>
      </c>
      <c r="E137" s="3">
        <v>79</v>
      </c>
      <c r="F137" s="3">
        <v>4</v>
      </c>
      <c r="G137" s="3">
        <v>13</v>
      </c>
      <c r="H137" s="3">
        <v>6</v>
      </c>
      <c r="I137" s="3">
        <v>68</v>
      </c>
      <c r="J137" s="3">
        <v>26</v>
      </c>
      <c r="K137" s="3">
        <v>-20</v>
      </c>
      <c r="L137">
        <v>46</v>
      </c>
      <c r="M137">
        <v>51</v>
      </c>
      <c r="N137">
        <v>3</v>
      </c>
      <c r="O137">
        <v>43</v>
      </c>
      <c r="U137" s="3">
        <v>8</v>
      </c>
      <c r="V137" s="3">
        <v>91</v>
      </c>
      <c r="W137" s="3">
        <v>1</v>
      </c>
      <c r="X137" s="3">
        <v>7</v>
      </c>
      <c r="Y137">
        <f t="shared" si="2"/>
        <v>-4.666666666666667</v>
      </c>
      <c r="Z137">
        <v>10</v>
      </c>
      <c r="AA137">
        <v>74</v>
      </c>
      <c r="AB137">
        <v>16</v>
      </c>
      <c r="AC137">
        <v>-6</v>
      </c>
      <c r="AD137">
        <v>3</v>
      </c>
      <c r="AE137">
        <v>78</v>
      </c>
      <c r="AF137">
        <v>19</v>
      </c>
      <c r="AG137">
        <v>-16</v>
      </c>
    </row>
    <row r="138" spans="1:33">
      <c r="A138">
        <v>2015</v>
      </c>
      <c r="B138">
        <v>5</v>
      </c>
      <c r="C138" s="2" t="s">
        <v>113</v>
      </c>
      <c r="D138" s="3">
        <v>18</v>
      </c>
      <c r="E138" s="3">
        <v>78</v>
      </c>
      <c r="F138" s="3">
        <v>4</v>
      </c>
      <c r="G138" s="3">
        <v>14</v>
      </c>
      <c r="H138" s="3">
        <v>16</v>
      </c>
      <c r="I138" s="3">
        <v>71</v>
      </c>
      <c r="J138" s="3">
        <v>13</v>
      </c>
      <c r="K138" s="3">
        <v>3</v>
      </c>
      <c r="L138">
        <v>48</v>
      </c>
      <c r="M138">
        <v>49</v>
      </c>
      <c r="N138">
        <v>3</v>
      </c>
      <c r="O138">
        <v>45</v>
      </c>
      <c r="U138" s="3">
        <v>8</v>
      </c>
      <c r="V138" s="3">
        <v>90</v>
      </c>
      <c r="W138" s="3">
        <v>2</v>
      </c>
      <c r="X138" s="3">
        <v>6</v>
      </c>
      <c r="Y138">
        <f t="shared" si="2"/>
        <v>3.6666666666666665</v>
      </c>
      <c r="Z138">
        <v>30</v>
      </c>
      <c r="AA138">
        <v>49</v>
      </c>
      <c r="AB138">
        <v>21</v>
      </c>
      <c r="AC138">
        <v>9</v>
      </c>
      <c r="AD138">
        <v>3</v>
      </c>
      <c r="AE138">
        <v>78</v>
      </c>
      <c r="AF138">
        <v>19</v>
      </c>
      <c r="AG138">
        <v>-16</v>
      </c>
    </row>
    <row r="139" spans="1:33">
      <c r="A139">
        <v>2015</v>
      </c>
      <c r="B139">
        <v>6</v>
      </c>
      <c r="C139" s="2" t="s">
        <v>112</v>
      </c>
      <c r="D139" s="3">
        <v>17</v>
      </c>
      <c r="E139" s="3">
        <v>79</v>
      </c>
      <c r="F139" s="3">
        <v>4</v>
      </c>
      <c r="G139" s="3">
        <v>13</v>
      </c>
      <c r="H139" s="3">
        <v>16</v>
      </c>
      <c r="I139" s="3">
        <v>78</v>
      </c>
      <c r="J139" s="3">
        <v>6</v>
      </c>
      <c r="K139" s="3">
        <v>10</v>
      </c>
      <c r="L139">
        <v>48</v>
      </c>
      <c r="M139">
        <v>50</v>
      </c>
      <c r="N139">
        <v>2</v>
      </c>
      <c r="O139">
        <v>46</v>
      </c>
      <c r="U139" s="3">
        <v>3</v>
      </c>
      <c r="V139" s="3">
        <v>96</v>
      </c>
      <c r="W139" s="3">
        <v>1</v>
      </c>
      <c r="X139" s="3">
        <v>2</v>
      </c>
      <c r="Y139">
        <f t="shared" si="2"/>
        <v>7</v>
      </c>
      <c r="Z139">
        <v>33</v>
      </c>
      <c r="AA139">
        <v>52</v>
      </c>
      <c r="AB139">
        <v>15</v>
      </c>
      <c r="AC139">
        <v>18</v>
      </c>
      <c r="AD139">
        <v>4</v>
      </c>
      <c r="AE139">
        <v>77</v>
      </c>
      <c r="AF139">
        <v>19</v>
      </c>
      <c r="AG139">
        <v>-15</v>
      </c>
    </row>
    <row r="140" spans="1:33">
      <c r="A140">
        <v>2015</v>
      </c>
      <c r="B140">
        <v>7</v>
      </c>
      <c r="C140" s="2" t="s">
        <v>111</v>
      </c>
      <c r="D140" s="3">
        <v>15</v>
      </c>
      <c r="E140" s="3">
        <v>82</v>
      </c>
      <c r="F140" s="3">
        <v>3</v>
      </c>
      <c r="G140" s="3">
        <v>12</v>
      </c>
      <c r="H140" s="3">
        <v>20</v>
      </c>
      <c r="I140" s="3">
        <v>74</v>
      </c>
      <c r="J140" s="3">
        <v>6</v>
      </c>
      <c r="K140" s="3">
        <v>14</v>
      </c>
      <c r="L140">
        <v>49</v>
      </c>
      <c r="M140">
        <v>48</v>
      </c>
      <c r="N140">
        <v>3</v>
      </c>
      <c r="O140">
        <v>46</v>
      </c>
      <c r="U140" s="3">
        <v>4</v>
      </c>
      <c r="V140" s="3">
        <v>95</v>
      </c>
      <c r="W140" s="3">
        <v>1</v>
      </c>
      <c r="X140" s="3">
        <v>3</v>
      </c>
      <c r="Y140">
        <f t="shared" si="2"/>
        <v>7.666666666666667</v>
      </c>
      <c r="Z140">
        <v>32</v>
      </c>
      <c r="AA140">
        <v>58</v>
      </c>
      <c r="AB140">
        <v>10</v>
      </c>
      <c r="AC140">
        <v>22</v>
      </c>
      <c r="AD140">
        <v>3</v>
      </c>
      <c r="AE140">
        <v>95</v>
      </c>
      <c r="AF140">
        <v>2</v>
      </c>
      <c r="AG140">
        <v>1</v>
      </c>
    </row>
    <row r="141" spans="1:33">
      <c r="A141">
        <v>2015</v>
      </c>
      <c r="B141">
        <v>8</v>
      </c>
      <c r="C141" s="2" t="s">
        <v>110</v>
      </c>
      <c r="D141" s="3">
        <v>9</v>
      </c>
      <c r="E141" s="3">
        <v>88</v>
      </c>
      <c r="F141" s="3">
        <v>3</v>
      </c>
      <c r="G141" s="3">
        <v>6</v>
      </c>
      <c r="H141" s="3">
        <v>27</v>
      </c>
      <c r="I141" s="3">
        <v>69</v>
      </c>
      <c r="J141" s="3">
        <v>4</v>
      </c>
      <c r="K141" s="3">
        <v>23</v>
      </c>
      <c r="L141">
        <v>60</v>
      </c>
      <c r="M141">
        <v>38</v>
      </c>
      <c r="N141">
        <v>2</v>
      </c>
      <c r="O141">
        <v>58</v>
      </c>
      <c r="U141" s="3">
        <v>2</v>
      </c>
      <c r="V141" s="3">
        <v>97</v>
      </c>
      <c r="W141" s="3">
        <v>1</v>
      </c>
      <c r="X141" s="3">
        <v>1</v>
      </c>
      <c r="Y141">
        <f t="shared" si="2"/>
        <v>9.3333333333333339</v>
      </c>
      <c r="Z141">
        <v>26</v>
      </c>
      <c r="AA141">
        <v>60</v>
      </c>
      <c r="AB141">
        <v>14</v>
      </c>
      <c r="AC141">
        <v>12</v>
      </c>
      <c r="AD141">
        <v>4</v>
      </c>
      <c r="AE141">
        <v>93</v>
      </c>
      <c r="AF141">
        <v>3</v>
      </c>
      <c r="AG141">
        <v>1</v>
      </c>
    </row>
    <row r="142" spans="1:33">
      <c r="A142">
        <v>2015</v>
      </c>
      <c r="B142">
        <v>9</v>
      </c>
      <c r="C142" s="2" t="s">
        <v>109</v>
      </c>
      <c r="D142" s="3">
        <v>12</v>
      </c>
      <c r="E142" s="3">
        <v>76</v>
      </c>
      <c r="F142" s="3">
        <v>12</v>
      </c>
      <c r="G142" s="3">
        <v>0</v>
      </c>
      <c r="H142" s="3">
        <v>19</v>
      </c>
      <c r="I142" s="3">
        <v>77</v>
      </c>
      <c r="J142" s="3">
        <v>4</v>
      </c>
      <c r="K142" s="3">
        <v>15</v>
      </c>
      <c r="L142">
        <v>60</v>
      </c>
      <c r="M142">
        <v>38</v>
      </c>
      <c r="N142">
        <v>2</v>
      </c>
      <c r="O142">
        <v>58</v>
      </c>
      <c r="U142" s="3">
        <v>4</v>
      </c>
      <c r="V142" s="3">
        <v>95</v>
      </c>
      <c r="W142" s="3">
        <v>1</v>
      </c>
      <c r="X142" s="3">
        <v>3</v>
      </c>
      <c r="Y142">
        <f t="shared" si="2"/>
        <v>4</v>
      </c>
      <c r="Z142">
        <v>11</v>
      </c>
      <c r="AA142">
        <v>74</v>
      </c>
      <c r="AB142">
        <v>15</v>
      </c>
      <c r="AC142">
        <v>-4</v>
      </c>
      <c r="AD142">
        <v>4</v>
      </c>
      <c r="AE142">
        <v>95</v>
      </c>
      <c r="AF142">
        <v>1</v>
      </c>
      <c r="AG142">
        <v>3</v>
      </c>
    </row>
    <row r="143" spans="1:33">
      <c r="A143">
        <v>2015</v>
      </c>
      <c r="B143">
        <v>10</v>
      </c>
      <c r="C143" s="2" t="s">
        <v>108</v>
      </c>
      <c r="D143" s="3">
        <v>12</v>
      </c>
      <c r="E143" s="3">
        <v>75</v>
      </c>
      <c r="F143" s="3">
        <v>13</v>
      </c>
      <c r="G143" s="3">
        <v>-1</v>
      </c>
      <c r="H143" s="3">
        <v>16</v>
      </c>
      <c r="I143" s="3">
        <v>79</v>
      </c>
      <c r="J143" s="3">
        <v>5</v>
      </c>
      <c r="K143" s="3">
        <v>11</v>
      </c>
      <c r="L143">
        <v>59</v>
      </c>
      <c r="M143">
        <v>39</v>
      </c>
      <c r="N143">
        <v>2</v>
      </c>
      <c r="O143">
        <v>57</v>
      </c>
      <c r="U143" s="3">
        <v>4</v>
      </c>
      <c r="V143" s="3">
        <v>95</v>
      </c>
      <c r="W143" s="3">
        <v>1</v>
      </c>
      <c r="X143" s="3">
        <v>3</v>
      </c>
      <c r="Y143">
        <f t="shared" si="2"/>
        <v>2.3333333333333335</v>
      </c>
      <c r="Z143">
        <v>34</v>
      </c>
      <c r="AA143">
        <v>49</v>
      </c>
      <c r="AB143">
        <v>17</v>
      </c>
      <c r="AC143">
        <v>17</v>
      </c>
      <c r="AD143">
        <v>3</v>
      </c>
      <c r="AE143">
        <v>96</v>
      </c>
      <c r="AF143">
        <v>1</v>
      </c>
      <c r="AG143">
        <v>2</v>
      </c>
    </row>
    <row r="144" spans="1:33">
      <c r="A144">
        <v>2015</v>
      </c>
      <c r="B144">
        <v>11</v>
      </c>
      <c r="C144" s="2" t="s">
        <v>107</v>
      </c>
      <c r="D144" s="3">
        <v>10</v>
      </c>
      <c r="E144" s="3">
        <v>73</v>
      </c>
      <c r="F144" s="3">
        <v>17</v>
      </c>
      <c r="G144" s="3">
        <v>-7</v>
      </c>
      <c r="H144" s="3">
        <v>24</v>
      </c>
      <c r="I144" s="3">
        <v>70</v>
      </c>
      <c r="J144" s="3">
        <v>6</v>
      </c>
      <c r="K144" s="3">
        <v>18</v>
      </c>
      <c r="L144">
        <v>58</v>
      </c>
      <c r="M144">
        <v>40</v>
      </c>
      <c r="N144">
        <v>2</v>
      </c>
      <c r="O144">
        <v>56</v>
      </c>
      <c r="U144" s="3">
        <v>3</v>
      </c>
      <c r="V144" s="3">
        <v>96</v>
      </c>
      <c r="W144" s="3">
        <v>1</v>
      </c>
      <c r="X144" s="3">
        <v>2</v>
      </c>
      <c r="Y144">
        <f t="shared" si="2"/>
        <v>3</v>
      </c>
      <c r="Z144">
        <v>39</v>
      </c>
      <c r="AA144">
        <v>43</v>
      </c>
      <c r="AB144">
        <v>18</v>
      </c>
      <c r="AC144">
        <v>21</v>
      </c>
      <c r="AD144">
        <v>3</v>
      </c>
      <c r="AE144">
        <v>95</v>
      </c>
      <c r="AF144">
        <v>2</v>
      </c>
      <c r="AG144">
        <v>1</v>
      </c>
    </row>
    <row r="145" spans="1:33">
      <c r="A145">
        <v>2015</v>
      </c>
      <c r="B145">
        <v>12</v>
      </c>
      <c r="C145" s="2" t="s">
        <v>106</v>
      </c>
      <c r="D145" s="3">
        <v>7</v>
      </c>
      <c r="E145" s="3">
        <v>84</v>
      </c>
      <c r="F145" s="3">
        <v>9</v>
      </c>
      <c r="G145" s="3">
        <v>-2</v>
      </c>
      <c r="H145" s="3">
        <v>42</v>
      </c>
      <c r="I145" s="3">
        <v>51</v>
      </c>
      <c r="J145" s="3">
        <v>7</v>
      </c>
      <c r="K145" s="3">
        <v>35</v>
      </c>
      <c r="L145">
        <v>59</v>
      </c>
      <c r="M145">
        <v>39</v>
      </c>
      <c r="N145">
        <v>2</v>
      </c>
      <c r="O145">
        <v>57</v>
      </c>
      <c r="U145" s="3">
        <v>3</v>
      </c>
      <c r="V145" s="3">
        <v>96</v>
      </c>
      <c r="W145" s="3">
        <v>1</v>
      </c>
      <c r="X145" s="3">
        <v>2</v>
      </c>
      <c r="Y145">
        <f t="shared" si="2"/>
        <v>10.333333333333334</v>
      </c>
      <c r="Z145">
        <v>10</v>
      </c>
      <c r="AA145">
        <v>52</v>
      </c>
      <c r="AB145">
        <v>38</v>
      </c>
      <c r="AC145">
        <v>-28</v>
      </c>
      <c r="AD145">
        <v>20</v>
      </c>
      <c r="AE145">
        <v>76</v>
      </c>
      <c r="AF145">
        <v>4</v>
      </c>
      <c r="AG145">
        <v>16</v>
      </c>
    </row>
    <row r="146" spans="1:33">
      <c r="A146">
        <v>2016</v>
      </c>
      <c r="B146">
        <v>1</v>
      </c>
      <c r="C146" s="2" t="s">
        <v>105</v>
      </c>
      <c r="D146" s="3">
        <v>5</v>
      </c>
      <c r="E146" s="3">
        <v>79</v>
      </c>
      <c r="F146" s="3">
        <v>16</v>
      </c>
      <c r="G146" s="3">
        <v>-11</v>
      </c>
      <c r="H146" s="3">
        <v>41</v>
      </c>
      <c r="I146" s="3">
        <v>52</v>
      </c>
      <c r="J146" s="3">
        <v>7</v>
      </c>
      <c r="K146" s="3">
        <v>34</v>
      </c>
      <c r="L146">
        <v>60</v>
      </c>
      <c r="M146">
        <v>37</v>
      </c>
      <c r="N146">
        <v>3</v>
      </c>
      <c r="O146">
        <v>57</v>
      </c>
      <c r="U146" s="3">
        <v>3</v>
      </c>
      <c r="V146" s="3">
        <v>96</v>
      </c>
      <c r="W146" s="3">
        <v>1</v>
      </c>
      <c r="X146" s="3">
        <v>2</v>
      </c>
      <c r="Y146">
        <f t="shared" si="2"/>
        <v>7</v>
      </c>
      <c r="Z146">
        <v>12</v>
      </c>
      <c r="AA146">
        <v>52</v>
      </c>
      <c r="AB146">
        <v>36</v>
      </c>
      <c r="AC146">
        <v>-24</v>
      </c>
      <c r="AD146">
        <v>21</v>
      </c>
      <c r="AE146">
        <v>78</v>
      </c>
      <c r="AF146">
        <v>1</v>
      </c>
      <c r="AG146">
        <v>20</v>
      </c>
    </row>
    <row r="147" spans="1:33">
      <c r="A147">
        <v>2016</v>
      </c>
      <c r="B147">
        <v>2</v>
      </c>
      <c r="C147" s="2" t="s">
        <v>104</v>
      </c>
      <c r="D147" s="3">
        <v>8</v>
      </c>
      <c r="E147" s="3">
        <v>87</v>
      </c>
      <c r="F147" s="3">
        <v>5</v>
      </c>
      <c r="G147" s="3">
        <v>3</v>
      </c>
      <c r="H147" s="3">
        <v>38</v>
      </c>
      <c r="I147" s="3">
        <v>48</v>
      </c>
      <c r="J147" s="3">
        <v>14</v>
      </c>
      <c r="K147" s="3">
        <v>24</v>
      </c>
      <c r="L147">
        <v>58</v>
      </c>
      <c r="M147">
        <v>38</v>
      </c>
      <c r="N147">
        <v>4</v>
      </c>
      <c r="O147">
        <v>54</v>
      </c>
      <c r="U147" s="3">
        <v>4</v>
      </c>
      <c r="V147" s="3">
        <v>94</v>
      </c>
      <c r="W147" s="3">
        <v>2</v>
      </c>
      <c r="X147" s="3">
        <v>2</v>
      </c>
      <c r="Y147">
        <f t="shared" si="2"/>
        <v>8.3333333333333339</v>
      </c>
      <c r="Z147">
        <v>14</v>
      </c>
      <c r="AA147">
        <v>79</v>
      </c>
      <c r="AB147">
        <v>7</v>
      </c>
      <c r="AC147">
        <v>7</v>
      </c>
      <c r="AD147">
        <v>23</v>
      </c>
      <c r="AE147">
        <v>76</v>
      </c>
      <c r="AF147">
        <v>1</v>
      </c>
      <c r="AG147">
        <v>22</v>
      </c>
    </row>
    <row r="148" spans="1:33">
      <c r="A148">
        <v>2016</v>
      </c>
      <c r="B148">
        <v>3</v>
      </c>
      <c r="C148" s="2" t="s">
        <v>103</v>
      </c>
      <c r="D148" s="3">
        <v>16</v>
      </c>
      <c r="E148" s="3">
        <v>81</v>
      </c>
      <c r="F148" s="3">
        <v>3</v>
      </c>
      <c r="G148" s="3">
        <v>13</v>
      </c>
      <c r="H148" s="3">
        <v>37</v>
      </c>
      <c r="I148" s="3">
        <v>48</v>
      </c>
      <c r="J148" s="3">
        <v>15</v>
      </c>
      <c r="K148" s="3">
        <v>22</v>
      </c>
      <c r="L148">
        <v>58</v>
      </c>
      <c r="M148">
        <v>40</v>
      </c>
      <c r="N148">
        <v>2</v>
      </c>
      <c r="O148">
        <v>56</v>
      </c>
      <c r="U148" s="3">
        <v>3</v>
      </c>
      <c r="V148" s="3">
        <v>96</v>
      </c>
      <c r="W148" s="3">
        <v>1</v>
      </c>
      <c r="X148" s="3">
        <v>2</v>
      </c>
      <c r="Y148">
        <f t="shared" si="2"/>
        <v>11</v>
      </c>
      <c r="Z148">
        <v>24</v>
      </c>
      <c r="AA148">
        <v>69</v>
      </c>
      <c r="AB148">
        <v>7</v>
      </c>
      <c r="AC148">
        <v>17</v>
      </c>
      <c r="AD148">
        <v>24</v>
      </c>
      <c r="AE148">
        <v>75</v>
      </c>
      <c r="AF148">
        <v>1</v>
      </c>
      <c r="AG148">
        <v>23</v>
      </c>
    </row>
    <row r="149" spans="1:33">
      <c r="A149">
        <v>2016</v>
      </c>
      <c r="B149">
        <v>4</v>
      </c>
      <c r="C149" s="2" t="s">
        <v>102</v>
      </c>
      <c r="D149" s="3">
        <v>20</v>
      </c>
      <c r="E149" s="3">
        <v>71</v>
      </c>
      <c r="F149" s="3">
        <v>9</v>
      </c>
      <c r="G149" s="3">
        <v>11</v>
      </c>
      <c r="H149" s="3">
        <v>38</v>
      </c>
      <c r="I149" s="3">
        <v>57</v>
      </c>
      <c r="J149" s="3">
        <v>5</v>
      </c>
      <c r="K149" s="3">
        <v>33</v>
      </c>
      <c r="L149">
        <v>59</v>
      </c>
      <c r="M149">
        <v>39</v>
      </c>
      <c r="N149">
        <v>2</v>
      </c>
      <c r="O149">
        <v>57</v>
      </c>
      <c r="U149" s="3">
        <v>3</v>
      </c>
      <c r="V149" s="3">
        <v>96</v>
      </c>
      <c r="W149" s="3">
        <v>1</v>
      </c>
      <c r="X149" s="3">
        <v>2</v>
      </c>
      <c r="Y149">
        <f t="shared" si="2"/>
        <v>14</v>
      </c>
      <c r="Z149">
        <v>40</v>
      </c>
      <c r="AA149">
        <v>54</v>
      </c>
      <c r="AB149">
        <v>6</v>
      </c>
      <c r="AC149">
        <v>34</v>
      </c>
      <c r="AD149">
        <v>23</v>
      </c>
      <c r="AE149">
        <v>76</v>
      </c>
      <c r="AF149">
        <v>1</v>
      </c>
      <c r="AG149">
        <v>22</v>
      </c>
    </row>
    <row r="150" spans="1:33">
      <c r="A150">
        <v>2016</v>
      </c>
      <c r="B150">
        <v>5</v>
      </c>
      <c r="C150" s="2" t="s">
        <v>101</v>
      </c>
      <c r="D150" s="3">
        <v>25</v>
      </c>
      <c r="E150" s="3">
        <v>65</v>
      </c>
      <c r="F150" s="3">
        <v>10</v>
      </c>
      <c r="G150" s="3">
        <v>15</v>
      </c>
      <c r="H150" s="3">
        <v>42</v>
      </c>
      <c r="I150" s="3">
        <v>52</v>
      </c>
      <c r="J150" s="3">
        <v>6</v>
      </c>
      <c r="K150" s="3">
        <v>36</v>
      </c>
      <c r="L150">
        <v>59</v>
      </c>
      <c r="M150">
        <v>39</v>
      </c>
      <c r="N150">
        <v>2</v>
      </c>
      <c r="O150">
        <v>57</v>
      </c>
      <c r="U150" s="3">
        <v>5</v>
      </c>
      <c r="V150" s="3">
        <v>94</v>
      </c>
      <c r="W150" s="3">
        <v>1</v>
      </c>
      <c r="X150" s="3">
        <v>4</v>
      </c>
      <c r="Y150">
        <f t="shared" si="2"/>
        <v>15.666666666666666</v>
      </c>
      <c r="Z150">
        <v>42</v>
      </c>
      <c r="AA150">
        <v>47</v>
      </c>
      <c r="AB150">
        <v>11</v>
      </c>
      <c r="AC150">
        <v>31</v>
      </c>
      <c r="AD150">
        <v>22</v>
      </c>
      <c r="AE150">
        <v>71</v>
      </c>
      <c r="AF150">
        <v>7</v>
      </c>
      <c r="AG150">
        <v>15</v>
      </c>
    </row>
    <row r="151" spans="1:33">
      <c r="A151">
        <v>2016</v>
      </c>
      <c r="B151">
        <v>6</v>
      </c>
      <c r="C151" s="2" t="s">
        <v>100</v>
      </c>
      <c r="D151" s="3">
        <v>28</v>
      </c>
      <c r="E151" s="3">
        <v>61</v>
      </c>
      <c r="F151" s="3">
        <v>11</v>
      </c>
      <c r="G151" s="3">
        <v>17</v>
      </c>
      <c r="H151" s="3">
        <v>36</v>
      </c>
      <c r="I151" s="3">
        <v>60</v>
      </c>
      <c r="J151" s="3">
        <v>4</v>
      </c>
      <c r="K151" s="3">
        <v>32</v>
      </c>
      <c r="L151">
        <v>58</v>
      </c>
      <c r="M151">
        <v>40</v>
      </c>
      <c r="N151">
        <v>2</v>
      </c>
      <c r="O151">
        <v>56</v>
      </c>
      <c r="U151" s="3">
        <v>3</v>
      </c>
      <c r="V151" s="3">
        <v>96</v>
      </c>
      <c r="W151" s="3">
        <v>1</v>
      </c>
      <c r="X151" s="3">
        <v>2</v>
      </c>
      <c r="Y151">
        <f t="shared" si="2"/>
        <v>15.666666666666666</v>
      </c>
      <c r="Z151">
        <v>40</v>
      </c>
      <c r="AA151">
        <v>51</v>
      </c>
      <c r="AB151">
        <v>9</v>
      </c>
      <c r="AC151">
        <v>31</v>
      </c>
      <c r="AD151">
        <v>5</v>
      </c>
      <c r="AE151">
        <v>86</v>
      </c>
      <c r="AF151">
        <v>9</v>
      </c>
      <c r="AG151">
        <v>-4</v>
      </c>
    </row>
    <row r="152" spans="1:33">
      <c r="A152">
        <v>2016</v>
      </c>
      <c r="B152">
        <v>7</v>
      </c>
      <c r="C152" s="2" t="s">
        <v>99</v>
      </c>
      <c r="D152" s="3">
        <v>21</v>
      </c>
      <c r="E152" s="3">
        <v>70</v>
      </c>
      <c r="F152" s="3">
        <v>9</v>
      </c>
      <c r="G152" s="3">
        <v>12</v>
      </c>
      <c r="H152" s="3">
        <v>22</v>
      </c>
      <c r="I152" s="3">
        <v>74</v>
      </c>
      <c r="J152" s="3">
        <v>4</v>
      </c>
      <c r="K152" s="3">
        <v>18</v>
      </c>
      <c r="L152">
        <v>60</v>
      </c>
      <c r="M152">
        <v>37</v>
      </c>
      <c r="N152">
        <v>3</v>
      </c>
      <c r="O152">
        <v>57</v>
      </c>
      <c r="U152" s="3">
        <v>5</v>
      </c>
      <c r="V152" s="3">
        <v>94</v>
      </c>
      <c r="W152" s="3">
        <v>1</v>
      </c>
      <c r="X152" s="3">
        <v>4</v>
      </c>
      <c r="Y152">
        <f t="shared" si="2"/>
        <v>8.6666666666666661</v>
      </c>
      <c r="Z152">
        <v>28</v>
      </c>
      <c r="AA152">
        <v>67</v>
      </c>
      <c r="AB152">
        <v>5</v>
      </c>
      <c r="AC152">
        <v>23</v>
      </c>
      <c r="AD152">
        <v>6</v>
      </c>
      <c r="AE152">
        <v>87</v>
      </c>
      <c r="AF152">
        <v>7</v>
      </c>
      <c r="AG152">
        <v>-1</v>
      </c>
    </row>
    <row r="153" spans="1:33">
      <c r="A153">
        <v>2016</v>
      </c>
      <c r="B153">
        <v>8</v>
      </c>
      <c r="C153" s="2" t="s">
        <v>98</v>
      </c>
      <c r="D153" s="3">
        <v>13</v>
      </c>
      <c r="E153" s="3">
        <v>78</v>
      </c>
      <c r="F153" s="3">
        <v>9</v>
      </c>
      <c r="G153" s="3">
        <v>4</v>
      </c>
      <c r="H153" s="3">
        <v>21</v>
      </c>
      <c r="I153" s="3">
        <v>74</v>
      </c>
      <c r="J153" s="3">
        <v>5</v>
      </c>
      <c r="K153" s="3">
        <v>16</v>
      </c>
      <c r="L153">
        <v>57</v>
      </c>
      <c r="M153">
        <v>41</v>
      </c>
      <c r="N153">
        <v>2</v>
      </c>
      <c r="O153">
        <v>55</v>
      </c>
      <c r="U153" s="3">
        <v>5</v>
      </c>
      <c r="V153" s="3">
        <v>93</v>
      </c>
      <c r="W153" s="3">
        <v>2</v>
      </c>
      <c r="X153" s="3">
        <v>3</v>
      </c>
      <c r="Y153">
        <f t="shared" si="2"/>
        <v>5.666666666666667</v>
      </c>
      <c r="Z153">
        <v>17</v>
      </c>
      <c r="AA153">
        <v>77</v>
      </c>
      <c r="AB153">
        <v>6</v>
      </c>
      <c r="AC153">
        <v>11</v>
      </c>
      <c r="AD153">
        <v>5</v>
      </c>
      <c r="AE153">
        <v>94</v>
      </c>
      <c r="AF153">
        <v>1</v>
      </c>
      <c r="AG153">
        <v>4</v>
      </c>
    </row>
    <row r="154" spans="1:33">
      <c r="A154">
        <v>2016</v>
      </c>
      <c r="B154">
        <v>9</v>
      </c>
      <c r="C154" s="2" t="s">
        <v>97</v>
      </c>
      <c r="D154" s="3">
        <v>15</v>
      </c>
      <c r="E154" s="3">
        <v>82</v>
      </c>
      <c r="F154" s="3">
        <v>3</v>
      </c>
      <c r="G154" s="3">
        <v>12</v>
      </c>
      <c r="H154" s="3">
        <v>25</v>
      </c>
      <c r="I154" s="3">
        <v>71</v>
      </c>
      <c r="J154" s="3">
        <v>4</v>
      </c>
      <c r="K154" s="3">
        <v>21</v>
      </c>
      <c r="L154">
        <v>60</v>
      </c>
      <c r="M154">
        <v>38</v>
      </c>
      <c r="N154">
        <v>2</v>
      </c>
      <c r="O154">
        <v>58</v>
      </c>
      <c r="U154" s="3">
        <v>3</v>
      </c>
      <c r="V154" s="3">
        <v>95</v>
      </c>
      <c r="W154" s="3">
        <v>2</v>
      </c>
      <c r="X154" s="3">
        <v>1</v>
      </c>
      <c r="Y154">
        <f t="shared" si="2"/>
        <v>10.666666666666666</v>
      </c>
      <c r="Z154">
        <v>25</v>
      </c>
      <c r="AA154">
        <v>61</v>
      </c>
      <c r="AB154">
        <v>14</v>
      </c>
      <c r="AC154">
        <v>11</v>
      </c>
      <c r="AD154">
        <v>5</v>
      </c>
      <c r="AE154">
        <v>77</v>
      </c>
      <c r="AF154">
        <v>18</v>
      </c>
      <c r="AG154">
        <v>-13</v>
      </c>
    </row>
    <row r="155" spans="1:33">
      <c r="A155">
        <v>2016</v>
      </c>
      <c r="B155">
        <v>10</v>
      </c>
      <c r="C155" s="2" t="s">
        <v>96</v>
      </c>
      <c r="D155" s="3">
        <v>18</v>
      </c>
      <c r="E155" s="3">
        <v>70</v>
      </c>
      <c r="F155" s="3">
        <v>12</v>
      </c>
      <c r="G155" s="3">
        <v>6</v>
      </c>
      <c r="H155" s="3">
        <v>20</v>
      </c>
      <c r="I155" s="3">
        <v>69</v>
      </c>
      <c r="J155" s="3">
        <v>11</v>
      </c>
      <c r="K155" s="3">
        <v>9</v>
      </c>
      <c r="L155">
        <v>61</v>
      </c>
      <c r="M155">
        <v>36</v>
      </c>
      <c r="N155">
        <v>3</v>
      </c>
      <c r="O155">
        <v>58</v>
      </c>
      <c r="U155" s="3">
        <v>2</v>
      </c>
      <c r="V155" s="3">
        <v>97</v>
      </c>
      <c r="W155" s="3">
        <v>1</v>
      </c>
      <c r="X155" s="3">
        <v>1</v>
      </c>
      <c r="Y155">
        <f t="shared" si="2"/>
        <v>4.666666666666667</v>
      </c>
      <c r="Z155">
        <v>24</v>
      </c>
      <c r="AA155">
        <v>62</v>
      </c>
      <c r="AB155">
        <v>14</v>
      </c>
      <c r="AC155">
        <v>10</v>
      </c>
      <c r="AD155">
        <v>4</v>
      </c>
      <c r="AE155">
        <v>77</v>
      </c>
      <c r="AF155">
        <v>19</v>
      </c>
      <c r="AG155">
        <v>-15</v>
      </c>
    </row>
    <row r="156" spans="1:33">
      <c r="A156">
        <v>2016</v>
      </c>
      <c r="B156">
        <v>11</v>
      </c>
      <c r="C156" s="2" t="s">
        <v>95</v>
      </c>
      <c r="D156" s="3">
        <v>22</v>
      </c>
      <c r="E156" s="3">
        <v>65</v>
      </c>
      <c r="F156" s="3">
        <v>13</v>
      </c>
      <c r="G156" s="3">
        <v>9</v>
      </c>
      <c r="H156" s="3">
        <v>16</v>
      </c>
      <c r="I156" s="3">
        <v>73</v>
      </c>
      <c r="J156" s="3">
        <v>11</v>
      </c>
      <c r="K156" s="3">
        <v>5</v>
      </c>
      <c r="L156">
        <v>61</v>
      </c>
      <c r="M156">
        <v>37</v>
      </c>
      <c r="N156">
        <v>2</v>
      </c>
      <c r="O156">
        <v>59</v>
      </c>
      <c r="U156" s="3">
        <v>2</v>
      </c>
      <c r="V156" s="3">
        <v>96</v>
      </c>
      <c r="W156" s="3">
        <v>2</v>
      </c>
      <c r="X156" s="3">
        <v>0</v>
      </c>
      <c r="Y156">
        <f t="shared" si="2"/>
        <v>4.666666666666667</v>
      </c>
      <c r="Z156">
        <v>20</v>
      </c>
      <c r="AA156">
        <v>65</v>
      </c>
      <c r="AB156">
        <v>15</v>
      </c>
      <c r="AC156">
        <v>5</v>
      </c>
      <c r="AD156">
        <v>5</v>
      </c>
      <c r="AE156">
        <v>69</v>
      </c>
      <c r="AF156">
        <v>26</v>
      </c>
      <c r="AG156">
        <v>-21</v>
      </c>
    </row>
    <row r="157" spans="1:33">
      <c r="A157">
        <v>2016</v>
      </c>
      <c r="B157">
        <v>12</v>
      </c>
      <c r="C157" s="2" t="s">
        <v>94</v>
      </c>
      <c r="D157" s="3">
        <v>17</v>
      </c>
      <c r="E157" s="3">
        <v>67</v>
      </c>
      <c r="F157" s="3">
        <v>16</v>
      </c>
      <c r="G157" s="3">
        <v>1</v>
      </c>
      <c r="H157" s="3">
        <v>18</v>
      </c>
      <c r="I157" s="3">
        <v>70</v>
      </c>
      <c r="J157" s="3">
        <v>12</v>
      </c>
      <c r="K157" s="3">
        <v>6</v>
      </c>
      <c r="L157">
        <v>60</v>
      </c>
      <c r="M157">
        <v>38</v>
      </c>
      <c r="N157">
        <v>2</v>
      </c>
      <c r="O157">
        <v>58</v>
      </c>
      <c r="U157" s="3">
        <v>2</v>
      </c>
      <c r="V157" s="3">
        <v>97</v>
      </c>
      <c r="W157" s="3">
        <v>1</v>
      </c>
      <c r="X157" s="3">
        <v>1</v>
      </c>
      <c r="Y157">
        <f t="shared" si="2"/>
        <v>2</v>
      </c>
      <c r="Z157">
        <v>14</v>
      </c>
      <c r="AA157">
        <v>48</v>
      </c>
      <c r="AB157">
        <v>38</v>
      </c>
      <c r="AC157">
        <v>-24</v>
      </c>
      <c r="AD157">
        <v>5</v>
      </c>
      <c r="AE157">
        <v>91</v>
      </c>
      <c r="AF157">
        <v>4</v>
      </c>
      <c r="AG157">
        <v>1</v>
      </c>
    </row>
    <row r="158" spans="1:33">
      <c r="A158">
        <v>2017</v>
      </c>
      <c r="B158">
        <v>1</v>
      </c>
      <c r="C158" s="2" t="s">
        <v>93</v>
      </c>
      <c r="D158" s="3">
        <v>13</v>
      </c>
      <c r="E158" s="3">
        <v>73</v>
      </c>
      <c r="F158" s="3">
        <v>14</v>
      </c>
      <c r="G158" s="3">
        <v>-1</v>
      </c>
      <c r="H158" s="3">
        <v>20</v>
      </c>
      <c r="I158" s="3">
        <v>69</v>
      </c>
      <c r="J158" s="3">
        <v>11</v>
      </c>
      <c r="K158" s="3">
        <v>9</v>
      </c>
      <c r="L158">
        <v>61</v>
      </c>
      <c r="M158">
        <v>37</v>
      </c>
      <c r="N158">
        <v>2</v>
      </c>
      <c r="O158">
        <v>59</v>
      </c>
      <c r="U158" s="3">
        <v>5</v>
      </c>
      <c r="V158" s="3">
        <v>94</v>
      </c>
      <c r="W158" s="3">
        <v>1</v>
      </c>
      <c r="X158" s="3">
        <v>4</v>
      </c>
      <c r="Y158">
        <f t="shared" si="2"/>
        <v>1.3333333333333333</v>
      </c>
      <c r="Z158">
        <v>10</v>
      </c>
      <c r="AA158">
        <v>47</v>
      </c>
      <c r="AB158">
        <v>43</v>
      </c>
      <c r="AC158">
        <v>-33</v>
      </c>
      <c r="AD158">
        <v>9</v>
      </c>
      <c r="AE158">
        <v>89</v>
      </c>
      <c r="AF158">
        <v>2</v>
      </c>
      <c r="AG158">
        <v>7</v>
      </c>
    </row>
    <row r="159" spans="1:33">
      <c r="A159">
        <v>2017</v>
      </c>
      <c r="B159">
        <v>2</v>
      </c>
      <c r="C159" s="2" t="s">
        <v>92</v>
      </c>
      <c r="D159" s="3">
        <v>18</v>
      </c>
      <c r="E159" s="3">
        <v>72</v>
      </c>
      <c r="F159" s="3">
        <v>10</v>
      </c>
      <c r="G159" s="3">
        <v>8</v>
      </c>
      <c r="H159" s="3">
        <v>22</v>
      </c>
      <c r="I159" s="3">
        <v>66</v>
      </c>
      <c r="J159" s="3">
        <v>12</v>
      </c>
      <c r="K159" s="3">
        <v>10</v>
      </c>
      <c r="L159">
        <v>62</v>
      </c>
      <c r="M159">
        <v>34</v>
      </c>
      <c r="N159">
        <v>4</v>
      </c>
      <c r="O159">
        <v>58</v>
      </c>
      <c r="U159" s="3">
        <v>4</v>
      </c>
      <c r="V159" s="3">
        <v>95</v>
      </c>
      <c r="W159" s="3">
        <v>1</v>
      </c>
      <c r="X159" s="3">
        <v>3</v>
      </c>
      <c r="Y159">
        <f t="shared" si="2"/>
        <v>5</v>
      </c>
      <c r="Z159">
        <v>20</v>
      </c>
      <c r="AA159">
        <v>49</v>
      </c>
      <c r="AB159">
        <v>31</v>
      </c>
      <c r="AC159">
        <v>-11</v>
      </c>
      <c r="AD159">
        <v>8</v>
      </c>
      <c r="AE159">
        <v>90</v>
      </c>
      <c r="AF159">
        <v>2</v>
      </c>
      <c r="AG159">
        <v>6</v>
      </c>
    </row>
    <row r="160" spans="1:33">
      <c r="A160">
        <v>2017</v>
      </c>
      <c r="B160">
        <v>3</v>
      </c>
      <c r="C160" s="2" t="s">
        <v>91</v>
      </c>
      <c r="D160" s="3">
        <v>20</v>
      </c>
      <c r="E160" s="3">
        <v>72</v>
      </c>
      <c r="F160" s="3">
        <v>8</v>
      </c>
      <c r="G160" s="3">
        <v>12</v>
      </c>
      <c r="H160" s="3">
        <v>13</v>
      </c>
      <c r="I160" s="3">
        <v>73</v>
      </c>
      <c r="J160" s="3">
        <v>14</v>
      </c>
      <c r="K160" s="3">
        <v>-1</v>
      </c>
      <c r="L160">
        <v>60</v>
      </c>
      <c r="M160">
        <v>37</v>
      </c>
      <c r="N160">
        <v>3</v>
      </c>
      <c r="O160">
        <v>57</v>
      </c>
      <c r="U160" s="3">
        <v>5</v>
      </c>
      <c r="V160" s="3">
        <v>93</v>
      </c>
      <c r="W160" s="3">
        <v>2</v>
      </c>
      <c r="X160" s="3">
        <v>3</v>
      </c>
      <c r="Y160">
        <f t="shared" si="2"/>
        <v>2.6666666666666665</v>
      </c>
      <c r="Z160">
        <v>16</v>
      </c>
      <c r="AA160">
        <v>74</v>
      </c>
      <c r="AB160">
        <v>10</v>
      </c>
      <c r="AC160">
        <v>6</v>
      </c>
      <c r="AD160">
        <v>10</v>
      </c>
      <c r="AE160">
        <v>89</v>
      </c>
      <c r="AF160">
        <v>1</v>
      </c>
      <c r="AG160">
        <v>9</v>
      </c>
    </row>
    <row r="161" spans="1:33">
      <c r="A161">
        <v>2017</v>
      </c>
      <c r="B161">
        <v>4</v>
      </c>
      <c r="C161" s="2" t="s">
        <v>90</v>
      </c>
      <c r="D161" s="3">
        <v>21</v>
      </c>
      <c r="E161" s="3">
        <v>71</v>
      </c>
      <c r="F161" s="3">
        <v>8</v>
      </c>
      <c r="G161" s="3">
        <v>13</v>
      </c>
      <c r="H161" s="3">
        <v>17</v>
      </c>
      <c r="I161" s="3">
        <v>70</v>
      </c>
      <c r="J161" s="3">
        <v>13</v>
      </c>
      <c r="K161" s="3">
        <v>4</v>
      </c>
      <c r="L161">
        <v>60</v>
      </c>
      <c r="M161">
        <v>38</v>
      </c>
      <c r="N161">
        <v>2</v>
      </c>
      <c r="O161">
        <v>58</v>
      </c>
      <c r="U161" s="3">
        <v>2</v>
      </c>
      <c r="V161" s="3">
        <v>97</v>
      </c>
      <c r="W161" s="3">
        <v>1</v>
      </c>
      <c r="X161" s="3">
        <v>1</v>
      </c>
      <c r="Y161">
        <f t="shared" si="2"/>
        <v>5.333333333333333</v>
      </c>
      <c r="Z161">
        <v>19</v>
      </c>
      <c r="AA161">
        <v>72</v>
      </c>
      <c r="AB161">
        <v>9</v>
      </c>
      <c r="AC161">
        <v>10</v>
      </c>
      <c r="AD161">
        <v>6</v>
      </c>
      <c r="AE161">
        <v>92</v>
      </c>
      <c r="AF161">
        <v>2</v>
      </c>
      <c r="AG161">
        <v>4</v>
      </c>
    </row>
    <row r="162" spans="1:33">
      <c r="A162">
        <v>2017</v>
      </c>
      <c r="B162">
        <v>5</v>
      </c>
      <c r="C162" s="2" t="s">
        <v>89</v>
      </c>
      <c r="D162" s="3">
        <v>20</v>
      </c>
      <c r="E162" s="3">
        <v>72</v>
      </c>
      <c r="F162" s="3">
        <v>8</v>
      </c>
      <c r="G162" s="3">
        <v>12</v>
      </c>
      <c r="H162" s="3">
        <v>17</v>
      </c>
      <c r="I162" s="3">
        <v>73</v>
      </c>
      <c r="J162" s="3">
        <v>10</v>
      </c>
      <c r="K162" s="3">
        <v>7</v>
      </c>
      <c r="L162">
        <v>62</v>
      </c>
      <c r="M162">
        <v>36</v>
      </c>
      <c r="N162">
        <v>2</v>
      </c>
      <c r="O162">
        <v>60</v>
      </c>
      <c r="U162" s="3">
        <v>2</v>
      </c>
      <c r="V162" s="3">
        <v>96</v>
      </c>
      <c r="W162" s="3">
        <v>2</v>
      </c>
      <c r="X162" s="3">
        <v>0</v>
      </c>
      <c r="Y162">
        <f t="shared" si="2"/>
        <v>6.333333333333333</v>
      </c>
      <c r="Z162">
        <v>21</v>
      </c>
      <c r="AA162">
        <v>68</v>
      </c>
      <c r="AB162">
        <v>11</v>
      </c>
      <c r="AC162">
        <v>10</v>
      </c>
      <c r="AD162">
        <v>6</v>
      </c>
      <c r="AE162">
        <v>91</v>
      </c>
      <c r="AF162">
        <v>3</v>
      </c>
      <c r="AG162">
        <v>3</v>
      </c>
    </row>
    <row r="163" spans="1:33">
      <c r="A163">
        <v>2017</v>
      </c>
      <c r="B163">
        <v>6</v>
      </c>
      <c r="C163" s="2" t="s">
        <v>88</v>
      </c>
      <c r="D163" s="3">
        <v>20</v>
      </c>
      <c r="E163" s="3">
        <v>72</v>
      </c>
      <c r="F163" s="3">
        <v>8</v>
      </c>
      <c r="G163" s="3">
        <v>12</v>
      </c>
      <c r="H163" s="3">
        <v>21</v>
      </c>
      <c r="I163" s="3">
        <v>69</v>
      </c>
      <c r="J163" s="3">
        <v>10</v>
      </c>
      <c r="K163" s="3">
        <v>11</v>
      </c>
      <c r="L163">
        <v>61</v>
      </c>
      <c r="M163">
        <v>37</v>
      </c>
      <c r="N163">
        <v>2</v>
      </c>
      <c r="O163">
        <v>59</v>
      </c>
      <c r="U163" s="3">
        <v>2</v>
      </c>
      <c r="V163" s="3">
        <v>97</v>
      </c>
      <c r="W163" s="3">
        <v>1</v>
      </c>
      <c r="X163" s="3">
        <v>1</v>
      </c>
      <c r="Y163">
        <f t="shared" si="2"/>
        <v>7.333333333333333</v>
      </c>
      <c r="Z163">
        <v>15</v>
      </c>
      <c r="AA163">
        <v>73</v>
      </c>
      <c r="AB163">
        <v>12</v>
      </c>
      <c r="AC163">
        <v>3</v>
      </c>
      <c r="AD163">
        <v>6</v>
      </c>
      <c r="AE163">
        <v>91</v>
      </c>
      <c r="AF163">
        <v>3</v>
      </c>
      <c r="AG163">
        <v>3</v>
      </c>
    </row>
    <row r="164" spans="1:33">
      <c r="A164">
        <v>2017</v>
      </c>
      <c r="B164">
        <v>7</v>
      </c>
      <c r="C164" s="2" t="s">
        <v>87</v>
      </c>
      <c r="D164" s="3">
        <v>19</v>
      </c>
      <c r="E164" s="3">
        <v>74</v>
      </c>
      <c r="F164" s="3">
        <v>7</v>
      </c>
      <c r="G164" s="3">
        <v>12</v>
      </c>
      <c r="H164" s="3">
        <v>15</v>
      </c>
      <c r="I164" s="3">
        <v>77</v>
      </c>
      <c r="J164" s="3">
        <v>8</v>
      </c>
      <c r="K164" s="3">
        <v>7</v>
      </c>
      <c r="L164">
        <v>61</v>
      </c>
      <c r="M164">
        <v>36</v>
      </c>
      <c r="N164">
        <v>3</v>
      </c>
      <c r="O164">
        <v>58</v>
      </c>
      <c r="U164" s="3">
        <v>3</v>
      </c>
      <c r="V164" s="3">
        <v>96</v>
      </c>
      <c r="W164" s="3">
        <v>1</v>
      </c>
      <c r="X164" s="3">
        <v>2</v>
      </c>
      <c r="Y164">
        <f t="shared" si="2"/>
        <v>5.666666666666667</v>
      </c>
      <c r="Z164">
        <v>18</v>
      </c>
      <c r="AA164">
        <v>71</v>
      </c>
      <c r="AB164">
        <v>11</v>
      </c>
      <c r="AC164">
        <v>7</v>
      </c>
      <c r="AD164">
        <v>5</v>
      </c>
      <c r="AE164">
        <v>93</v>
      </c>
      <c r="AF164">
        <v>2</v>
      </c>
      <c r="AG164">
        <v>3</v>
      </c>
    </row>
    <row r="165" spans="1:33">
      <c r="A165">
        <v>2017</v>
      </c>
      <c r="B165">
        <v>8</v>
      </c>
      <c r="C165" s="2" t="s">
        <v>86</v>
      </c>
      <c r="D165" s="3">
        <v>18</v>
      </c>
      <c r="E165" s="3">
        <v>75</v>
      </c>
      <c r="F165" s="3">
        <v>7</v>
      </c>
      <c r="G165" s="3">
        <v>11</v>
      </c>
      <c r="H165" s="3">
        <v>14</v>
      </c>
      <c r="I165" s="3">
        <v>77</v>
      </c>
      <c r="J165" s="3">
        <v>9</v>
      </c>
      <c r="K165" s="3">
        <v>5</v>
      </c>
      <c r="L165">
        <v>61</v>
      </c>
      <c r="M165">
        <v>36</v>
      </c>
      <c r="N165">
        <v>3</v>
      </c>
      <c r="O165">
        <v>58</v>
      </c>
      <c r="U165" s="3">
        <v>2</v>
      </c>
      <c r="V165" s="3">
        <v>97</v>
      </c>
      <c r="W165" s="3">
        <v>1</v>
      </c>
      <c r="X165" s="3">
        <v>1</v>
      </c>
      <c r="Y165">
        <f t="shared" si="2"/>
        <v>5</v>
      </c>
      <c r="Z165">
        <v>21</v>
      </c>
      <c r="AA165">
        <v>70</v>
      </c>
      <c r="AB165">
        <v>9</v>
      </c>
      <c r="AC165">
        <v>12</v>
      </c>
      <c r="AD165">
        <v>6</v>
      </c>
      <c r="AE165">
        <v>92</v>
      </c>
      <c r="AF165">
        <v>2</v>
      </c>
      <c r="AG165">
        <v>4</v>
      </c>
    </row>
    <row r="166" spans="1:33">
      <c r="A166">
        <v>2017</v>
      </c>
      <c r="B166">
        <v>9</v>
      </c>
      <c r="C166" s="2" t="s">
        <v>85</v>
      </c>
      <c r="D166" s="3">
        <v>18</v>
      </c>
      <c r="E166" s="3">
        <v>73</v>
      </c>
      <c r="F166" s="3">
        <v>9</v>
      </c>
      <c r="G166" s="3">
        <v>9</v>
      </c>
      <c r="H166" s="3">
        <v>15</v>
      </c>
      <c r="I166" s="3">
        <v>76</v>
      </c>
      <c r="J166" s="3">
        <v>9</v>
      </c>
      <c r="K166" s="3">
        <v>6</v>
      </c>
      <c r="L166">
        <v>60</v>
      </c>
      <c r="M166">
        <v>38</v>
      </c>
      <c r="N166">
        <v>2</v>
      </c>
      <c r="O166">
        <v>58</v>
      </c>
      <c r="U166" s="3">
        <v>4</v>
      </c>
      <c r="V166" s="3">
        <v>95</v>
      </c>
      <c r="W166" s="3">
        <v>1</v>
      </c>
      <c r="X166" s="3">
        <v>3</v>
      </c>
      <c r="Y166">
        <f t="shared" si="2"/>
        <v>4</v>
      </c>
      <c r="Z166">
        <v>17</v>
      </c>
      <c r="AA166">
        <v>72</v>
      </c>
      <c r="AB166">
        <v>11</v>
      </c>
      <c r="AC166">
        <v>6</v>
      </c>
      <c r="AD166">
        <v>6</v>
      </c>
      <c r="AE166">
        <v>93</v>
      </c>
      <c r="AF166">
        <v>1</v>
      </c>
      <c r="AG166">
        <v>5</v>
      </c>
    </row>
    <row r="167" spans="1:33">
      <c r="A167">
        <v>2017</v>
      </c>
      <c r="B167">
        <v>10</v>
      </c>
      <c r="C167" s="2" t="s">
        <v>84</v>
      </c>
      <c r="D167" s="3">
        <v>17</v>
      </c>
      <c r="E167" s="3">
        <v>74</v>
      </c>
      <c r="F167" s="3">
        <v>9</v>
      </c>
      <c r="G167" s="3">
        <v>8</v>
      </c>
      <c r="H167" s="3">
        <v>15</v>
      </c>
      <c r="I167" s="3">
        <v>75</v>
      </c>
      <c r="J167" s="3">
        <v>10</v>
      </c>
      <c r="K167" s="3">
        <v>5</v>
      </c>
      <c r="L167">
        <v>59</v>
      </c>
      <c r="M167">
        <v>39</v>
      </c>
      <c r="N167">
        <v>2</v>
      </c>
      <c r="O167">
        <v>57</v>
      </c>
      <c r="U167" s="3">
        <v>2</v>
      </c>
      <c r="V167" s="3">
        <v>97</v>
      </c>
      <c r="W167" s="3">
        <v>1</v>
      </c>
      <c r="X167" s="3">
        <v>1</v>
      </c>
      <c r="Y167">
        <f t="shared" si="2"/>
        <v>4</v>
      </c>
      <c r="Z167">
        <v>22</v>
      </c>
      <c r="AA167">
        <v>67</v>
      </c>
      <c r="AB167">
        <v>11</v>
      </c>
      <c r="AC167">
        <v>11</v>
      </c>
      <c r="AD167">
        <v>5</v>
      </c>
      <c r="AE167">
        <v>94</v>
      </c>
      <c r="AF167">
        <v>1</v>
      </c>
      <c r="AG167">
        <v>4</v>
      </c>
    </row>
    <row r="168" spans="1:33">
      <c r="A168">
        <v>2017</v>
      </c>
      <c r="B168">
        <v>11</v>
      </c>
      <c r="C168" s="2" t="s">
        <v>83</v>
      </c>
      <c r="D168" s="3">
        <v>18</v>
      </c>
      <c r="E168" s="3">
        <v>73</v>
      </c>
      <c r="F168" s="3">
        <v>9</v>
      </c>
      <c r="G168" s="3">
        <v>9</v>
      </c>
      <c r="H168" s="3">
        <v>15</v>
      </c>
      <c r="I168" s="3">
        <v>76</v>
      </c>
      <c r="J168" s="3">
        <v>9</v>
      </c>
      <c r="K168" s="3">
        <v>6</v>
      </c>
      <c r="L168">
        <v>60</v>
      </c>
      <c r="M168">
        <v>37</v>
      </c>
      <c r="N168">
        <v>3</v>
      </c>
      <c r="O168">
        <v>57</v>
      </c>
      <c r="U168" s="3">
        <v>2</v>
      </c>
      <c r="V168" s="3">
        <v>96</v>
      </c>
      <c r="W168" s="3">
        <v>2</v>
      </c>
      <c r="X168" s="3">
        <v>0</v>
      </c>
      <c r="Y168">
        <f t="shared" si="2"/>
        <v>5</v>
      </c>
      <c r="Z168">
        <v>26</v>
      </c>
      <c r="AA168">
        <v>60</v>
      </c>
      <c r="AB168">
        <v>14</v>
      </c>
      <c r="AC168">
        <v>12</v>
      </c>
      <c r="AD168">
        <v>6</v>
      </c>
      <c r="AE168">
        <v>92</v>
      </c>
      <c r="AF168">
        <v>2</v>
      </c>
      <c r="AG168">
        <v>4</v>
      </c>
    </row>
    <row r="169" spans="1:33">
      <c r="A169">
        <v>2017</v>
      </c>
      <c r="B169">
        <v>12</v>
      </c>
      <c r="C169" s="2" t="s">
        <v>82</v>
      </c>
      <c r="D169" s="3">
        <v>13</v>
      </c>
      <c r="E169" s="3">
        <v>81</v>
      </c>
      <c r="F169" s="3">
        <v>6</v>
      </c>
      <c r="G169" s="3">
        <v>7</v>
      </c>
      <c r="H169" s="3">
        <v>16</v>
      </c>
      <c r="I169" s="3">
        <v>78</v>
      </c>
      <c r="J169" s="3">
        <v>6</v>
      </c>
      <c r="K169" s="3">
        <v>10</v>
      </c>
      <c r="L169">
        <v>63</v>
      </c>
      <c r="M169">
        <v>35</v>
      </c>
      <c r="N169">
        <v>2</v>
      </c>
      <c r="O169">
        <v>61</v>
      </c>
      <c r="U169" s="3">
        <v>4</v>
      </c>
      <c r="V169" s="3">
        <v>94</v>
      </c>
      <c r="W169" s="3">
        <v>2</v>
      </c>
      <c r="X169" s="3">
        <v>2</v>
      </c>
      <c r="Y169">
        <f t="shared" si="2"/>
        <v>5</v>
      </c>
      <c r="Z169">
        <v>21</v>
      </c>
      <c r="AA169">
        <v>63</v>
      </c>
      <c r="AB169">
        <v>16</v>
      </c>
      <c r="AC169">
        <v>5</v>
      </c>
      <c r="AD169">
        <v>8</v>
      </c>
      <c r="AE169">
        <v>90</v>
      </c>
      <c r="AF169">
        <v>2</v>
      </c>
      <c r="AG169">
        <v>6</v>
      </c>
    </row>
    <row r="170" spans="1:33">
      <c r="A170">
        <v>2018</v>
      </c>
      <c r="B170">
        <v>1</v>
      </c>
      <c r="C170" s="2" t="s">
        <v>81</v>
      </c>
      <c r="D170" s="3">
        <v>13</v>
      </c>
      <c r="E170" s="3">
        <v>79</v>
      </c>
      <c r="F170" s="3">
        <v>8</v>
      </c>
      <c r="G170" s="3">
        <v>5</v>
      </c>
      <c r="H170" s="3">
        <v>17</v>
      </c>
      <c r="I170" s="3">
        <v>78</v>
      </c>
      <c r="J170" s="3">
        <v>5</v>
      </c>
      <c r="K170" s="3">
        <v>12</v>
      </c>
      <c r="L170">
        <v>66</v>
      </c>
      <c r="M170">
        <v>33</v>
      </c>
      <c r="N170">
        <v>1</v>
      </c>
      <c r="O170">
        <v>65</v>
      </c>
      <c r="U170" s="3">
        <v>5</v>
      </c>
      <c r="V170" s="3">
        <v>94</v>
      </c>
      <c r="W170" s="3">
        <v>1</v>
      </c>
      <c r="X170" s="3">
        <v>4</v>
      </c>
      <c r="Y170">
        <f t="shared" si="2"/>
        <v>4.333333333333333</v>
      </c>
      <c r="Z170">
        <v>10</v>
      </c>
      <c r="AA170">
        <v>69</v>
      </c>
      <c r="AB170">
        <v>21</v>
      </c>
      <c r="AC170">
        <v>-11</v>
      </c>
      <c r="AD170">
        <v>8</v>
      </c>
      <c r="AE170">
        <v>89</v>
      </c>
      <c r="AF170">
        <v>3</v>
      </c>
      <c r="AG170">
        <v>5</v>
      </c>
    </row>
    <row r="171" spans="1:33">
      <c r="A171">
        <v>2018</v>
      </c>
      <c r="B171">
        <v>2</v>
      </c>
      <c r="C171" s="2" t="s">
        <v>80</v>
      </c>
      <c r="D171" s="3">
        <v>16</v>
      </c>
      <c r="E171" s="3">
        <v>80</v>
      </c>
      <c r="F171" s="3">
        <v>4</v>
      </c>
      <c r="G171" s="3">
        <v>12</v>
      </c>
      <c r="H171" s="3">
        <v>18</v>
      </c>
      <c r="I171" s="3">
        <v>76</v>
      </c>
      <c r="J171" s="3">
        <v>6</v>
      </c>
      <c r="K171" s="3">
        <v>12</v>
      </c>
      <c r="L171">
        <v>64</v>
      </c>
      <c r="M171">
        <v>34</v>
      </c>
      <c r="N171">
        <v>2</v>
      </c>
      <c r="O171">
        <v>62</v>
      </c>
      <c r="U171" s="3">
        <v>5</v>
      </c>
      <c r="V171" s="3">
        <v>94</v>
      </c>
      <c r="W171" s="3">
        <v>1</v>
      </c>
      <c r="X171" s="3">
        <v>4</v>
      </c>
      <c r="Y171">
        <f t="shared" si="2"/>
        <v>6.666666666666667</v>
      </c>
      <c r="Z171">
        <v>20</v>
      </c>
      <c r="AA171">
        <v>73</v>
      </c>
      <c r="AB171">
        <v>7</v>
      </c>
      <c r="AC171">
        <v>13</v>
      </c>
      <c r="AD171">
        <v>7</v>
      </c>
      <c r="AE171">
        <v>93</v>
      </c>
      <c r="AF171">
        <v>0</v>
      </c>
      <c r="AG171">
        <v>7</v>
      </c>
    </row>
    <row r="172" spans="1:33">
      <c r="A172">
        <v>2018</v>
      </c>
      <c r="B172">
        <v>3</v>
      </c>
      <c r="C172" s="2" t="s">
        <v>79</v>
      </c>
      <c r="D172" s="3">
        <v>17</v>
      </c>
      <c r="E172" s="3">
        <v>81</v>
      </c>
      <c r="F172" s="3">
        <v>2</v>
      </c>
      <c r="G172" s="3">
        <v>15</v>
      </c>
      <c r="H172" s="3">
        <v>14</v>
      </c>
      <c r="I172" s="3">
        <v>77</v>
      </c>
      <c r="J172" s="3">
        <v>9</v>
      </c>
      <c r="K172" s="3">
        <v>5</v>
      </c>
      <c r="L172">
        <v>65</v>
      </c>
      <c r="M172">
        <v>32</v>
      </c>
      <c r="N172">
        <v>3</v>
      </c>
      <c r="O172">
        <v>62</v>
      </c>
      <c r="U172" s="3">
        <v>2</v>
      </c>
      <c r="V172" s="3">
        <v>97</v>
      </c>
      <c r="W172" s="3">
        <v>1</v>
      </c>
      <c r="X172" s="3">
        <v>1</v>
      </c>
      <c r="Y172">
        <f t="shared" si="2"/>
        <v>6.333333333333333</v>
      </c>
      <c r="Z172">
        <v>24</v>
      </c>
      <c r="AA172">
        <v>68</v>
      </c>
      <c r="AB172">
        <v>8</v>
      </c>
      <c r="AC172">
        <v>16</v>
      </c>
      <c r="AD172">
        <v>6</v>
      </c>
      <c r="AE172">
        <v>93</v>
      </c>
      <c r="AF172">
        <v>1</v>
      </c>
      <c r="AG172">
        <v>5</v>
      </c>
    </row>
    <row r="173" spans="1:33">
      <c r="A173">
        <v>2018</v>
      </c>
      <c r="B173">
        <v>4</v>
      </c>
      <c r="C173" s="2" t="s">
        <v>78</v>
      </c>
      <c r="D173" s="3">
        <v>20</v>
      </c>
      <c r="E173" s="3">
        <v>78</v>
      </c>
      <c r="F173" s="3">
        <v>2</v>
      </c>
      <c r="G173" s="3">
        <v>18</v>
      </c>
      <c r="H173" s="3">
        <v>17</v>
      </c>
      <c r="I173" s="3">
        <v>76</v>
      </c>
      <c r="J173" s="3">
        <v>7</v>
      </c>
      <c r="K173" s="3">
        <v>10</v>
      </c>
      <c r="L173">
        <v>64</v>
      </c>
      <c r="M173">
        <v>34</v>
      </c>
      <c r="N173">
        <v>2</v>
      </c>
      <c r="O173">
        <v>62</v>
      </c>
      <c r="U173" s="3">
        <v>2</v>
      </c>
      <c r="V173" s="3">
        <v>96</v>
      </c>
      <c r="W173" s="3">
        <v>2</v>
      </c>
      <c r="X173" s="3">
        <v>0</v>
      </c>
      <c r="Y173">
        <f t="shared" si="2"/>
        <v>9.3333333333333339</v>
      </c>
      <c r="Z173">
        <v>15</v>
      </c>
      <c r="AA173">
        <v>79</v>
      </c>
      <c r="AB173">
        <v>6</v>
      </c>
      <c r="AC173">
        <v>9</v>
      </c>
      <c r="AD173">
        <v>6</v>
      </c>
      <c r="AE173">
        <v>90</v>
      </c>
      <c r="AF173">
        <v>4</v>
      </c>
      <c r="AG173">
        <v>2</v>
      </c>
    </row>
    <row r="174" spans="1:33">
      <c r="A174">
        <v>2018</v>
      </c>
      <c r="B174">
        <v>5</v>
      </c>
      <c r="C174" s="2" t="s">
        <v>77</v>
      </c>
      <c r="D174" s="3">
        <v>21</v>
      </c>
      <c r="E174" s="3">
        <v>76</v>
      </c>
      <c r="F174" s="3">
        <v>3</v>
      </c>
      <c r="G174" s="3">
        <v>18</v>
      </c>
      <c r="H174" s="3">
        <v>21</v>
      </c>
      <c r="I174" s="3">
        <v>75</v>
      </c>
      <c r="J174" s="3">
        <v>4</v>
      </c>
      <c r="K174" s="3">
        <v>17</v>
      </c>
      <c r="L174">
        <v>66</v>
      </c>
      <c r="M174">
        <v>32</v>
      </c>
      <c r="N174">
        <v>2</v>
      </c>
      <c r="O174">
        <v>64</v>
      </c>
      <c r="U174" s="3">
        <v>3</v>
      </c>
      <c r="V174" s="3">
        <v>96</v>
      </c>
      <c r="W174" s="3">
        <v>1</v>
      </c>
      <c r="X174" s="3">
        <v>2</v>
      </c>
      <c r="Y174">
        <f t="shared" si="2"/>
        <v>11</v>
      </c>
      <c r="Z174">
        <v>20</v>
      </c>
      <c r="AA174">
        <v>73</v>
      </c>
      <c r="AB174">
        <v>7</v>
      </c>
      <c r="AC174">
        <v>13</v>
      </c>
      <c r="AD174">
        <v>6</v>
      </c>
      <c r="AE174">
        <v>89</v>
      </c>
      <c r="AF174">
        <v>5</v>
      </c>
      <c r="AG174">
        <v>1</v>
      </c>
    </row>
    <row r="175" spans="1:33">
      <c r="A175">
        <v>2018</v>
      </c>
      <c r="B175">
        <v>6</v>
      </c>
      <c r="C175" s="2" t="s">
        <v>76</v>
      </c>
      <c r="D175" s="3">
        <v>18</v>
      </c>
      <c r="E175" s="3">
        <v>80</v>
      </c>
      <c r="F175" s="3">
        <v>2</v>
      </c>
      <c r="G175" s="3">
        <v>16</v>
      </c>
      <c r="H175" s="3">
        <v>23</v>
      </c>
      <c r="I175" s="3">
        <v>74</v>
      </c>
      <c r="J175" s="3">
        <v>3</v>
      </c>
      <c r="K175" s="3">
        <v>20</v>
      </c>
      <c r="L175">
        <v>69</v>
      </c>
      <c r="M175">
        <v>29</v>
      </c>
      <c r="N175">
        <v>2</v>
      </c>
      <c r="O175">
        <v>67</v>
      </c>
      <c r="U175" s="3">
        <v>3</v>
      </c>
      <c r="V175" s="3">
        <v>96</v>
      </c>
      <c r="W175" s="3">
        <v>1</v>
      </c>
      <c r="X175" s="3">
        <v>2</v>
      </c>
      <c r="Y175">
        <f t="shared" si="2"/>
        <v>11.333333333333334</v>
      </c>
      <c r="Z175">
        <v>18</v>
      </c>
      <c r="AA175">
        <v>77</v>
      </c>
      <c r="AB175">
        <v>5</v>
      </c>
      <c r="AC175">
        <v>13</v>
      </c>
      <c r="AD175">
        <v>7</v>
      </c>
      <c r="AE175">
        <v>92</v>
      </c>
      <c r="AF175">
        <v>1</v>
      </c>
      <c r="AG175">
        <v>6</v>
      </c>
    </row>
    <row r="176" spans="1:33">
      <c r="A176">
        <v>2018</v>
      </c>
      <c r="B176">
        <v>7</v>
      </c>
      <c r="C176" s="2" t="s">
        <v>75</v>
      </c>
      <c r="D176" s="3">
        <v>17</v>
      </c>
      <c r="E176" s="3">
        <v>80</v>
      </c>
      <c r="F176" s="3">
        <v>3</v>
      </c>
      <c r="G176" s="3">
        <v>14</v>
      </c>
      <c r="H176" s="3">
        <v>24</v>
      </c>
      <c r="I176" s="3">
        <v>73</v>
      </c>
      <c r="J176" s="3">
        <v>3</v>
      </c>
      <c r="K176" s="3">
        <v>21</v>
      </c>
      <c r="L176">
        <v>66</v>
      </c>
      <c r="M176">
        <v>32</v>
      </c>
      <c r="N176">
        <v>2</v>
      </c>
      <c r="O176">
        <v>64</v>
      </c>
      <c r="U176" s="3">
        <v>5</v>
      </c>
      <c r="V176" s="3">
        <v>93</v>
      </c>
      <c r="W176" s="3">
        <v>2</v>
      </c>
      <c r="X176" s="3">
        <v>3</v>
      </c>
      <c r="Y176">
        <f t="shared" si="2"/>
        <v>10.666666666666666</v>
      </c>
      <c r="Z176">
        <v>19</v>
      </c>
      <c r="AA176">
        <v>76</v>
      </c>
      <c r="AB176">
        <v>5</v>
      </c>
      <c r="AC176">
        <v>14</v>
      </c>
      <c r="AD176">
        <v>6</v>
      </c>
      <c r="AE176">
        <v>92</v>
      </c>
      <c r="AF176">
        <v>2</v>
      </c>
      <c r="AG176">
        <v>4</v>
      </c>
    </row>
    <row r="177" spans="1:33">
      <c r="A177">
        <v>2018</v>
      </c>
      <c r="B177">
        <v>8</v>
      </c>
      <c r="C177" s="2" t="s">
        <v>74</v>
      </c>
      <c r="D177" s="3">
        <v>18</v>
      </c>
      <c r="E177" s="3">
        <v>80</v>
      </c>
      <c r="F177" s="3">
        <v>2</v>
      </c>
      <c r="G177" s="3">
        <v>16</v>
      </c>
      <c r="H177" s="3">
        <v>23</v>
      </c>
      <c r="I177" s="3">
        <v>74</v>
      </c>
      <c r="J177" s="3">
        <v>3</v>
      </c>
      <c r="K177" s="3">
        <v>20</v>
      </c>
      <c r="L177">
        <v>65</v>
      </c>
      <c r="M177">
        <v>33</v>
      </c>
      <c r="N177">
        <v>2</v>
      </c>
      <c r="O177">
        <v>63</v>
      </c>
      <c r="U177" s="3">
        <v>5</v>
      </c>
      <c r="V177" s="3">
        <v>93</v>
      </c>
      <c r="W177" s="3">
        <v>2</v>
      </c>
      <c r="X177" s="3">
        <v>3</v>
      </c>
      <c r="Y177">
        <f t="shared" si="2"/>
        <v>11</v>
      </c>
      <c r="Z177">
        <v>21</v>
      </c>
      <c r="AA177">
        <v>72</v>
      </c>
      <c r="AB177">
        <v>7</v>
      </c>
      <c r="AC177">
        <v>14</v>
      </c>
      <c r="AD177">
        <v>7</v>
      </c>
      <c r="AE177">
        <v>93</v>
      </c>
      <c r="AF177">
        <v>0</v>
      </c>
      <c r="AG177">
        <v>7</v>
      </c>
    </row>
    <row r="178" spans="1:33">
      <c r="A178">
        <v>2018</v>
      </c>
      <c r="B178">
        <v>9</v>
      </c>
      <c r="C178" s="2" t="s">
        <v>73</v>
      </c>
      <c r="D178" s="3">
        <v>21</v>
      </c>
      <c r="E178" s="3">
        <v>76</v>
      </c>
      <c r="F178" s="3">
        <v>3</v>
      </c>
      <c r="G178" s="3">
        <v>18</v>
      </c>
      <c r="H178" s="3">
        <v>22</v>
      </c>
      <c r="I178" s="3">
        <v>75</v>
      </c>
      <c r="J178" s="3">
        <v>3</v>
      </c>
      <c r="K178" s="3">
        <v>19</v>
      </c>
      <c r="L178">
        <v>67</v>
      </c>
      <c r="M178">
        <v>31</v>
      </c>
      <c r="N178">
        <v>2</v>
      </c>
      <c r="O178">
        <v>65</v>
      </c>
      <c r="U178" s="3">
        <v>5</v>
      </c>
      <c r="V178" s="3">
        <v>93</v>
      </c>
      <c r="W178" s="3">
        <v>2</v>
      </c>
      <c r="X178" s="3">
        <v>3</v>
      </c>
      <c r="Y178">
        <f t="shared" si="2"/>
        <v>11.333333333333334</v>
      </c>
      <c r="Z178">
        <v>17</v>
      </c>
      <c r="AA178">
        <v>76</v>
      </c>
      <c r="AB178">
        <v>7</v>
      </c>
      <c r="AC178">
        <v>10</v>
      </c>
      <c r="AD178">
        <v>7</v>
      </c>
      <c r="AE178">
        <v>93</v>
      </c>
      <c r="AF178">
        <v>0</v>
      </c>
      <c r="AG178">
        <v>7</v>
      </c>
    </row>
    <row r="179" spans="1:33">
      <c r="A179">
        <v>2018</v>
      </c>
      <c r="B179">
        <v>10</v>
      </c>
      <c r="C179" s="2" t="s">
        <v>72</v>
      </c>
      <c r="D179" s="3">
        <v>25</v>
      </c>
      <c r="E179" s="3">
        <v>71</v>
      </c>
      <c r="F179" s="3">
        <v>4</v>
      </c>
      <c r="G179" s="3">
        <v>21</v>
      </c>
      <c r="H179" s="3">
        <v>17</v>
      </c>
      <c r="I179" s="3">
        <v>79</v>
      </c>
      <c r="J179" s="3">
        <v>4</v>
      </c>
      <c r="K179" s="3">
        <v>13</v>
      </c>
      <c r="L179">
        <v>66</v>
      </c>
      <c r="M179">
        <v>32</v>
      </c>
      <c r="N179">
        <v>2</v>
      </c>
      <c r="O179">
        <v>64</v>
      </c>
      <c r="U179" s="3">
        <v>5</v>
      </c>
      <c r="V179" s="3">
        <v>93</v>
      </c>
      <c r="W179" s="3">
        <v>2</v>
      </c>
      <c r="X179" s="3">
        <v>3</v>
      </c>
      <c r="Y179">
        <f t="shared" si="2"/>
        <v>10.333333333333334</v>
      </c>
      <c r="Z179">
        <v>26</v>
      </c>
      <c r="AA179">
        <v>66</v>
      </c>
      <c r="AB179">
        <v>8</v>
      </c>
      <c r="AC179">
        <v>18</v>
      </c>
      <c r="AD179">
        <v>9</v>
      </c>
      <c r="AE179">
        <v>90</v>
      </c>
      <c r="AF179">
        <v>1</v>
      </c>
      <c r="AG179">
        <v>8</v>
      </c>
    </row>
    <row r="180" spans="1:33">
      <c r="A180">
        <v>2018</v>
      </c>
      <c r="B180">
        <v>11</v>
      </c>
      <c r="C180" s="2" t="s">
        <v>71</v>
      </c>
      <c r="D180" s="3">
        <v>22</v>
      </c>
      <c r="E180" s="3">
        <v>74</v>
      </c>
      <c r="F180" s="3">
        <v>4</v>
      </c>
      <c r="G180" s="3">
        <v>18</v>
      </c>
      <c r="H180" s="3">
        <v>17</v>
      </c>
      <c r="I180" s="3">
        <v>80</v>
      </c>
      <c r="J180" s="3">
        <v>3</v>
      </c>
      <c r="K180" s="3">
        <v>14</v>
      </c>
      <c r="L180">
        <v>68</v>
      </c>
      <c r="M180">
        <v>30</v>
      </c>
      <c r="N180">
        <v>2</v>
      </c>
      <c r="O180">
        <v>66</v>
      </c>
      <c r="U180" s="3">
        <v>4</v>
      </c>
      <c r="V180" s="3">
        <v>94</v>
      </c>
      <c r="W180" s="3">
        <v>2</v>
      </c>
      <c r="X180" s="3">
        <v>2</v>
      </c>
      <c r="Y180">
        <f t="shared" si="2"/>
        <v>10</v>
      </c>
      <c r="Z180">
        <v>30</v>
      </c>
      <c r="AA180">
        <v>62</v>
      </c>
      <c r="AB180">
        <v>8</v>
      </c>
      <c r="AC180">
        <v>22</v>
      </c>
      <c r="AD180">
        <v>10</v>
      </c>
      <c r="AE180">
        <v>88</v>
      </c>
      <c r="AF180">
        <v>2</v>
      </c>
      <c r="AG180">
        <v>8</v>
      </c>
    </row>
    <row r="181" spans="1:33">
      <c r="A181">
        <v>2018</v>
      </c>
      <c r="B181">
        <v>12</v>
      </c>
      <c r="C181" s="2" t="s">
        <v>70</v>
      </c>
      <c r="D181" s="3">
        <v>15</v>
      </c>
      <c r="E181" s="3">
        <v>80</v>
      </c>
      <c r="F181" s="3">
        <v>5</v>
      </c>
      <c r="G181" s="3">
        <v>10</v>
      </c>
      <c r="H181" s="3">
        <v>15</v>
      </c>
      <c r="I181" s="3">
        <v>81</v>
      </c>
      <c r="J181" s="3">
        <v>4</v>
      </c>
      <c r="K181" s="3">
        <v>11</v>
      </c>
      <c r="L181">
        <v>67</v>
      </c>
      <c r="M181">
        <v>31</v>
      </c>
      <c r="N181">
        <v>2</v>
      </c>
      <c r="O181">
        <v>65</v>
      </c>
      <c r="U181" s="3">
        <v>5</v>
      </c>
      <c r="V181" s="3">
        <v>93</v>
      </c>
      <c r="W181" s="3">
        <v>2</v>
      </c>
      <c r="X181" s="3">
        <v>3</v>
      </c>
      <c r="Y181">
        <f t="shared" si="2"/>
        <v>6</v>
      </c>
      <c r="Z181">
        <v>19</v>
      </c>
      <c r="AA181">
        <v>68</v>
      </c>
      <c r="AB181">
        <v>13</v>
      </c>
      <c r="AC181">
        <v>6</v>
      </c>
      <c r="AD181">
        <v>9</v>
      </c>
      <c r="AE181">
        <v>85</v>
      </c>
      <c r="AF181">
        <v>6</v>
      </c>
      <c r="AG181">
        <v>3</v>
      </c>
    </row>
    <row r="182" spans="1:33">
      <c r="A182">
        <v>2019</v>
      </c>
      <c r="B182">
        <v>1</v>
      </c>
      <c r="C182" s="2" t="s">
        <v>69</v>
      </c>
      <c r="D182" s="3">
        <v>11</v>
      </c>
      <c r="E182" s="3">
        <v>83</v>
      </c>
      <c r="F182" s="3">
        <v>6</v>
      </c>
      <c r="G182" s="3">
        <v>5</v>
      </c>
      <c r="H182" s="3">
        <v>14</v>
      </c>
      <c r="I182" s="3">
        <v>79</v>
      </c>
      <c r="J182" s="3">
        <v>7</v>
      </c>
      <c r="K182" s="3">
        <v>7</v>
      </c>
      <c r="L182">
        <v>66</v>
      </c>
      <c r="M182">
        <v>33</v>
      </c>
      <c r="N182">
        <v>1</v>
      </c>
      <c r="O182">
        <v>65</v>
      </c>
      <c r="U182" s="3">
        <v>6</v>
      </c>
      <c r="V182" s="3">
        <v>92</v>
      </c>
      <c r="W182" s="3">
        <v>2</v>
      </c>
      <c r="X182" s="3">
        <v>4</v>
      </c>
      <c r="Y182">
        <f t="shared" si="2"/>
        <v>2.6666666666666665</v>
      </c>
      <c r="Z182">
        <v>12</v>
      </c>
      <c r="AA182">
        <v>73</v>
      </c>
      <c r="AB182">
        <v>15</v>
      </c>
      <c r="AC182">
        <v>-3</v>
      </c>
      <c r="AD182">
        <v>7</v>
      </c>
      <c r="AE182">
        <v>91</v>
      </c>
      <c r="AF182">
        <v>2</v>
      </c>
      <c r="AG182">
        <v>5</v>
      </c>
    </row>
    <row r="183" spans="1:33">
      <c r="A183">
        <v>2019</v>
      </c>
      <c r="B183">
        <v>2</v>
      </c>
      <c r="C183" s="2" t="s">
        <v>68</v>
      </c>
      <c r="D183" s="3">
        <v>13</v>
      </c>
      <c r="E183" s="3">
        <v>83</v>
      </c>
      <c r="F183" s="3">
        <v>4</v>
      </c>
      <c r="G183" s="3">
        <v>9</v>
      </c>
      <c r="H183" s="3">
        <v>11</v>
      </c>
      <c r="I183" s="3">
        <v>83</v>
      </c>
      <c r="J183" s="3">
        <v>6</v>
      </c>
      <c r="K183" s="3">
        <v>5</v>
      </c>
      <c r="L183">
        <v>60</v>
      </c>
      <c r="M183">
        <v>38</v>
      </c>
      <c r="N183">
        <v>2</v>
      </c>
      <c r="O183">
        <v>58</v>
      </c>
      <c r="U183" s="3">
        <v>5</v>
      </c>
      <c r="V183" s="3">
        <v>94</v>
      </c>
      <c r="W183" s="3">
        <v>1</v>
      </c>
      <c r="X183" s="3">
        <v>4</v>
      </c>
      <c r="Y183">
        <f t="shared" si="2"/>
        <v>3.3333333333333335</v>
      </c>
      <c r="Z183">
        <v>12</v>
      </c>
      <c r="AA183">
        <v>78</v>
      </c>
      <c r="AB183">
        <v>10</v>
      </c>
      <c r="AC183">
        <v>2</v>
      </c>
      <c r="AD183">
        <v>6</v>
      </c>
      <c r="AE183">
        <v>93</v>
      </c>
      <c r="AF183">
        <v>1</v>
      </c>
      <c r="AG183">
        <v>5</v>
      </c>
    </row>
    <row r="184" spans="1:33">
      <c r="A184">
        <v>2019</v>
      </c>
      <c r="B184">
        <v>3</v>
      </c>
      <c r="C184" s="2" t="s">
        <v>67</v>
      </c>
      <c r="D184" s="3">
        <v>17</v>
      </c>
      <c r="E184" s="3">
        <v>80</v>
      </c>
      <c r="F184" s="3">
        <v>3</v>
      </c>
      <c r="G184" s="3">
        <v>14</v>
      </c>
      <c r="H184" s="3">
        <v>8</v>
      </c>
      <c r="I184" s="3">
        <v>83</v>
      </c>
      <c r="J184" s="3">
        <v>9</v>
      </c>
      <c r="K184" s="3">
        <v>-1</v>
      </c>
      <c r="L184">
        <v>60</v>
      </c>
      <c r="M184">
        <v>38</v>
      </c>
      <c r="N184">
        <v>2</v>
      </c>
      <c r="O184">
        <v>58</v>
      </c>
      <c r="U184" s="3">
        <v>3</v>
      </c>
      <c r="V184" s="3">
        <v>96</v>
      </c>
      <c r="W184" s="3">
        <v>1</v>
      </c>
      <c r="X184" s="3">
        <v>2</v>
      </c>
      <c r="Y184">
        <f t="shared" si="2"/>
        <v>3.6666666666666665</v>
      </c>
      <c r="Z184">
        <v>20</v>
      </c>
      <c r="AA184">
        <v>74</v>
      </c>
      <c r="AB184">
        <v>6</v>
      </c>
      <c r="AC184">
        <v>14</v>
      </c>
      <c r="AD184">
        <v>10</v>
      </c>
      <c r="AE184">
        <v>90</v>
      </c>
      <c r="AF184">
        <v>0</v>
      </c>
      <c r="AG184">
        <v>10</v>
      </c>
    </row>
    <row r="185" spans="1:33">
      <c r="A185">
        <v>2019</v>
      </c>
      <c r="B185">
        <v>4</v>
      </c>
      <c r="C185" s="2" t="s">
        <v>66</v>
      </c>
      <c r="D185" s="3">
        <v>23</v>
      </c>
      <c r="E185" s="3">
        <v>75</v>
      </c>
      <c r="F185" s="3">
        <v>2</v>
      </c>
      <c r="G185" s="3">
        <v>21</v>
      </c>
      <c r="H185" s="3">
        <v>10</v>
      </c>
      <c r="I185" s="3">
        <v>81</v>
      </c>
      <c r="J185" s="3">
        <v>9</v>
      </c>
      <c r="K185" s="3">
        <v>1</v>
      </c>
      <c r="L185">
        <v>59</v>
      </c>
      <c r="M185">
        <v>39</v>
      </c>
      <c r="N185">
        <v>2</v>
      </c>
      <c r="O185">
        <v>57</v>
      </c>
      <c r="U185" s="3">
        <v>3</v>
      </c>
      <c r="V185" s="3">
        <v>95</v>
      </c>
      <c r="W185" s="3">
        <v>2</v>
      </c>
      <c r="X185" s="3">
        <v>1</v>
      </c>
      <c r="Y185">
        <f t="shared" si="2"/>
        <v>7</v>
      </c>
      <c r="Z185">
        <v>22</v>
      </c>
      <c r="AA185">
        <v>69</v>
      </c>
      <c r="AB185">
        <v>9</v>
      </c>
      <c r="AC185">
        <v>13</v>
      </c>
      <c r="AD185">
        <v>9</v>
      </c>
      <c r="AE185">
        <v>91</v>
      </c>
      <c r="AF185">
        <v>0</v>
      </c>
      <c r="AG185">
        <v>9</v>
      </c>
    </row>
    <row r="186" spans="1:33">
      <c r="A186">
        <v>2019</v>
      </c>
      <c r="B186">
        <v>5</v>
      </c>
      <c r="C186" s="2" t="s">
        <v>65</v>
      </c>
      <c r="D186" s="3">
        <v>18</v>
      </c>
      <c r="E186" s="3">
        <v>80</v>
      </c>
      <c r="F186" s="3">
        <v>2</v>
      </c>
      <c r="G186" s="3">
        <v>16</v>
      </c>
      <c r="H186" s="3">
        <v>14</v>
      </c>
      <c r="I186" s="3">
        <v>83</v>
      </c>
      <c r="J186" s="3">
        <v>3</v>
      </c>
      <c r="K186" s="3">
        <v>11</v>
      </c>
      <c r="L186">
        <v>63</v>
      </c>
      <c r="M186">
        <v>36</v>
      </c>
      <c r="N186">
        <v>1</v>
      </c>
      <c r="O186">
        <v>62</v>
      </c>
      <c r="U186" s="3">
        <v>2</v>
      </c>
      <c r="V186" s="3">
        <v>96</v>
      </c>
      <c r="W186" s="3">
        <v>2</v>
      </c>
      <c r="X186" s="3">
        <v>0</v>
      </c>
      <c r="Y186">
        <f t="shared" si="2"/>
        <v>9</v>
      </c>
      <c r="Z186">
        <v>23</v>
      </c>
      <c r="AA186">
        <v>70</v>
      </c>
      <c r="AB186">
        <v>7</v>
      </c>
      <c r="AC186">
        <v>16</v>
      </c>
      <c r="AD186">
        <v>7</v>
      </c>
      <c r="AE186">
        <v>92</v>
      </c>
      <c r="AF186">
        <v>1</v>
      </c>
      <c r="AG186">
        <v>6</v>
      </c>
    </row>
    <row r="187" spans="1:33">
      <c r="A187">
        <v>2019</v>
      </c>
      <c r="B187">
        <v>6</v>
      </c>
      <c r="C187" s="2" t="s">
        <v>64</v>
      </c>
      <c r="D187" s="3">
        <v>21</v>
      </c>
      <c r="E187" s="3">
        <v>77</v>
      </c>
      <c r="F187" s="3">
        <v>2</v>
      </c>
      <c r="G187" s="3">
        <v>19</v>
      </c>
      <c r="H187" s="3">
        <v>21</v>
      </c>
      <c r="I187" s="3">
        <v>76</v>
      </c>
      <c r="J187" s="3">
        <v>3</v>
      </c>
      <c r="K187" s="3">
        <v>18</v>
      </c>
      <c r="L187">
        <v>64</v>
      </c>
      <c r="M187">
        <v>35</v>
      </c>
      <c r="N187">
        <v>1</v>
      </c>
      <c r="O187">
        <v>63</v>
      </c>
      <c r="U187" s="3">
        <v>3</v>
      </c>
      <c r="V187" s="3">
        <v>94</v>
      </c>
      <c r="W187" s="3">
        <v>3</v>
      </c>
      <c r="X187" s="3">
        <v>0</v>
      </c>
      <c r="Y187">
        <f t="shared" si="2"/>
        <v>12.333333333333334</v>
      </c>
      <c r="Z187">
        <v>20</v>
      </c>
      <c r="AA187">
        <v>72</v>
      </c>
      <c r="AB187">
        <v>8</v>
      </c>
      <c r="AC187">
        <v>12</v>
      </c>
      <c r="AD187">
        <v>6</v>
      </c>
      <c r="AE187">
        <v>93</v>
      </c>
      <c r="AF187">
        <v>1</v>
      </c>
      <c r="AG187">
        <v>5</v>
      </c>
    </row>
    <row r="188" spans="1:33">
      <c r="A188">
        <v>2019</v>
      </c>
      <c r="B188">
        <v>7</v>
      </c>
      <c r="C188" s="2" t="s">
        <v>63</v>
      </c>
      <c r="D188" s="3">
        <v>21</v>
      </c>
      <c r="E188" s="3">
        <v>76</v>
      </c>
      <c r="F188" s="3">
        <v>3</v>
      </c>
      <c r="G188" s="3">
        <v>18</v>
      </c>
      <c r="H188" s="3">
        <v>20</v>
      </c>
      <c r="I188" s="3">
        <v>76</v>
      </c>
      <c r="J188" s="3">
        <v>4</v>
      </c>
      <c r="K188" s="3">
        <v>16</v>
      </c>
      <c r="L188">
        <v>65</v>
      </c>
      <c r="M188">
        <v>33</v>
      </c>
      <c r="N188">
        <v>2</v>
      </c>
      <c r="O188">
        <v>63</v>
      </c>
      <c r="U188" s="3">
        <v>2</v>
      </c>
      <c r="V188" s="3">
        <v>96</v>
      </c>
      <c r="W188" s="3">
        <v>2</v>
      </c>
      <c r="X188" s="3">
        <v>0</v>
      </c>
      <c r="Y188">
        <f t="shared" si="2"/>
        <v>11.333333333333334</v>
      </c>
      <c r="Z188">
        <v>22</v>
      </c>
      <c r="AA188">
        <v>70</v>
      </c>
      <c r="AB188">
        <v>8</v>
      </c>
      <c r="AC188">
        <v>14</v>
      </c>
      <c r="AD188">
        <v>6</v>
      </c>
      <c r="AE188">
        <v>92</v>
      </c>
      <c r="AF188">
        <v>2</v>
      </c>
      <c r="AG188">
        <v>4</v>
      </c>
    </row>
    <row r="189" spans="1:33">
      <c r="A189">
        <v>2019</v>
      </c>
      <c r="B189">
        <v>8</v>
      </c>
      <c r="C189" s="2" t="s">
        <v>62</v>
      </c>
      <c r="D189" s="3">
        <v>21</v>
      </c>
      <c r="E189" s="3">
        <v>77</v>
      </c>
      <c r="F189" s="3">
        <v>2</v>
      </c>
      <c r="G189" s="3">
        <v>19</v>
      </c>
      <c r="H189" s="3">
        <v>20</v>
      </c>
      <c r="I189" s="3">
        <v>76</v>
      </c>
      <c r="J189" s="3">
        <v>4</v>
      </c>
      <c r="K189" s="3">
        <v>16</v>
      </c>
      <c r="L189">
        <v>65</v>
      </c>
      <c r="M189">
        <v>34</v>
      </c>
      <c r="N189">
        <v>1</v>
      </c>
      <c r="O189">
        <v>64</v>
      </c>
      <c r="U189" s="3">
        <v>3</v>
      </c>
      <c r="V189" s="3">
        <v>96</v>
      </c>
      <c r="W189" s="3">
        <v>1</v>
      </c>
      <c r="X189" s="3">
        <v>2</v>
      </c>
      <c r="Y189">
        <f t="shared" si="2"/>
        <v>11</v>
      </c>
      <c r="Z189">
        <v>23</v>
      </c>
      <c r="AA189">
        <v>72</v>
      </c>
      <c r="AB189">
        <v>5</v>
      </c>
      <c r="AC189">
        <v>18</v>
      </c>
      <c r="AD189">
        <v>6</v>
      </c>
      <c r="AE189">
        <v>93</v>
      </c>
      <c r="AF189">
        <v>1</v>
      </c>
      <c r="AG189">
        <v>5</v>
      </c>
    </row>
    <row r="190" spans="1:33">
      <c r="A190">
        <v>2019</v>
      </c>
      <c r="B190">
        <v>9</v>
      </c>
      <c r="C190" s="2" t="s">
        <v>61</v>
      </c>
      <c r="D190" s="3">
        <v>18</v>
      </c>
      <c r="E190" s="3">
        <v>80</v>
      </c>
      <c r="F190" s="3">
        <v>2</v>
      </c>
      <c r="G190" s="3">
        <v>16</v>
      </c>
      <c r="H190" s="3">
        <v>15</v>
      </c>
      <c r="I190" s="3">
        <v>81</v>
      </c>
      <c r="J190" s="3">
        <v>4</v>
      </c>
      <c r="K190" s="3">
        <v>11</v>
      </c>
      <c r="L190">
        <v>60</v>
      </c>
      <c r="M190">
        <v>39</v>
      </c>
      <c r="N190">
        <v>1</v>
      </c>
      <c r="O190">
        <v>59</v>
      </c>
      <c r="U190" s="3">
        <v>3</v>
      </c>
      <c r="V190" s="3">
        <v>96</v>
      </c>
      <c r="W190" s="3">
        <v>1</v>
      </c>
      <c r="X190" s="3">
        <v>2</v>
      </c>
      <c r="Y190">
        <f t="shared" si="2"/>
        <v>8.3333333333333339</v>
      </c>
      <c r="Z190">
        <v>23</v>
      </c>
      <c r="AA190">
        <v>71</v>
      </c>
      <c r="AB190">
        <v>6</v>
      </c>
      <c r="AC190">
        <v>17</v>
      </c>
      <c r="AD190">
        <v>6</v>
      </c>
      <c r="AE190">
        <v>93</v>
      </c>
      <c r="AF190">
        <v>1</v>
      </c>
      <c r="AG190">
        <v>5</v>
      </c>
    </row>
    <row r="191" spans="1:33">
      <c r="A191">
        <v>2019</v>
      </c>
      <c r="B191">
        <v>10</v>
      </c>
      <c r="C191" s="2" t="s">
        <v>60</v>
      </c>
      <c r="D191" s="3">
        <v>20</v>
      </c>
      <c r="E191" s="3">
        <v>77</v>
      </c>
      <c r="F191" s="3">
        <v>3</v>
      </c>
      <c r="G191" s="3">
        <v>17</v>
      </c>
      <c r="H191" s="3">
        <v>17</v>
      </c>
      <c r="I191" s="3">
        <v>78</v>
      </c>
      <c r="J191" s="3">
        <v>5</v>
      </c>
      <c r="K191" s="3">
        <v>12</v>
      </c>
      <c r="L191">
        <v>62</v>
      </c>
      <c r="M191">
        <v>37</v>
      </c>
      <c r="N191">
        <v>1</v>
      </c>
      <c r="O191">
        <v>61</v>
      </c>
      <c r="U191" s="3">
        <v>4</v>
      </c>
      <c r="V191" s="3">
        <v>95</v>
      </c>
      <c r="W191" s="3">
        <v>1</v>
      </c>
      <c r="X191" s="3">
        <v>3</v>
      </c>
      <c r="Y191">
        <f t="shared" si="2"/>
        <v>8.6666666666666661</v>
      </c>
      <c r="Z191">
        <v>27</v>
      </c>
      <c r="AA191">
        <v>66</v>
      </c>
      <c r="AB191">
        <v>7</v>
      </c>
      <c r="AC191">
        <v>20</v>
      </c>
      <c r="AD191">
        <v>5</v>
      </c>
      <c r="AE191">
        <v>94</v>
      </c>
      <c r="AF191">
        <v>1</v>
      </c>
      <c r="AG191">
        <v>4</v>
      </c>
    </row>
    <row r="192" spans="1:33">
      <c r="A192">
        <v>2019</v>
      </c>
      <c r="B192">
        <v>11</v>
      </c>
      <c r="C192" s="2" t="s">
        <v>59</v>
      </c>
      <c r="D192" s="3">
        <v>22</v>
      </c>
      <c r="E192" s="3">
        <v>74</v>
      </c>
      <c r="F192" s="3">
        <v>4</v>
      </c>
      <c r="G192" s="3">
        <v>18</v>
      </c>
      <c r="H192" s="3">
        <v>20</v>
      </c>
      <c r="I192" s="3">
        <v>75</v>
      </c>
      <c r="J192" s="3">
        <v>5</v>
      </c>
      <c r="K192" s="3">
        <v>15</v>
      </c>
      <c r="L192">
        <v>66</v>
      </c>
      <c r="M192">
        <v>33</v>
      </c>
      <c r="N192">
        <v>1</v>
      </c>
      <c r="O192">
        <v>65</v>
      </c>
      <c r="U192" s="3">
        <v>3</v>
      </c>
      <c r="V192" s="3">
        <v>96</v>
      </c>
      <c r="W192" s="3">
        <v>1</v>
      </c>
      <c r="X192" s="3">
        <v>2</v>
      </c>
      <c r="Y192">
        <f t="shared" si="2"/>
        <v>10.333333333333334</v>
      </c>
      <c r="Z192">
        <v>28</v>
      </c>
      <c r="AA192">
        <v>64</v>
      </c>
      <c r="AB192">
        <v>8</v>
      </c>
      <c r="AC192">
        <v>20</v>
      </c>
      <c r="AD192">
        <v>5</v>
      </c>
      <c r="AE192">
        <v>93</v>
      </c>
      <c r="AF192">
        <v>2</v>
      </c>
      <c r="AG192">
        <v>3</v>
      </c>
    </row>
    <row r="193" spans="1:33">
      <c r="A193">
        <v>2019</v>
      </c>
      <c r="B193">
        <v>12</v>
      </c>
      <c r="C193" s="2" t="s">
        <v>58</v>
      </c>
      <c r="D193" s="3">
        <v>15</v>
      </c>
      <c r="E193" s="3">
        <v>79</v>
      </c>
      <c r="F193" s="3">
        <v>6</v>
      </c>
      <c r="G193" s="3">
        <v>9</v>
      </c>
      <c r="H193" s="3">
        <v>19</v>
      </c>
      <c r="I193" s="3">
        <v>75</v>
      </c>
      <c r="J193" s="3">
        <v>6</v>
      </c>
      <c r="K193" s="3">
        <v>13</v>
      </c>
      <c r="L193">
        <v>67</v>
      </c>
      <c r="M193">
        <v>32</v>
      </c>
      <c r="N193">
        <v>1</v>
      </c>
      <c r="O193">
        <v>66</v>
      </c>
      <c r="U193" s="3">
        <v>3</v>
      </c>
      <c r="V193" s="3">
        <v>96</v>
      </c>
      <c r="W193" s="3">
        <v>1</v>
      </c>
      <c r="X193" s="3">
        <v>2</v>
      </c>
      <c r="Y193">
        <f t="shared" si="2"/>
        <v>6.666666666666667</v>
      </c>
      <c r="Z193">
        <v>17</v>
      </c>
      <c r="AA193">
        <v>67</v>
      </c>
      <c r="AB193">
        <v>16</v>
      </c>
      <c r="AC193">
        <v>1</v>
      </c>
      <c r="AD193">
        <v>9</v>
      </c>
      <c r="AE193">
        <v>89</v>
      </c>
      <c r="AF193">
        <v>2</v>
      </c>
      <c r="AG193">
        <v>7</v>
      </c>
    </row>
    <row r="194" spans="1:33">
      <c r="A194">
        <v>2020</v>
      </c>
      <c r="B194">
        <v>1</v>
      </c>
      <c r="C194" s="2" t="s">
        <v>57</v>
      </c>
      <c r="D194" s="3">
        <v>14</v>
      </c>
      <c r="E194" s="3">
        <v>81</v>
      </c>
      <c r="F194" s="3">
        <v>5</v>
      </c>
      <c r="G194" s="3">
        <v>9</v>
      </c>
      <c r="H194" s="3">
        <v>15</v>
      </c>
      <c r="I194" s="3">
        <v>82</v>
      </c>
      <c r="J194" s="3">
        <v>3</v>
      </c>
      <c r="K194" s="3">
        <v>12</v>
      </c>
      <c r="L194">
        <v>70</v>
      </c>
      <c r="M194">
        <v>29</v>
      </c>
      <c r="N194">
        <v>1</v>
      </c>
      <c r="O194">
        <v>69</v>
      </c>
      <c r="U194" s="3">
        <v>8</v>
      </c>
      <c r="V194" s="3">
        <v>90</v>
      </c>
      <c r="W194" s="3">
        <v>2</v>
      </c>
      <c r="X194" s="3">
        <v>6</v>
      </c>
      <c r="Y194">
        <f t="shared" si="2"/>
        <v>5</v>
      </c>
      <c r="Z194">
        <v>11</v>
      </c>
      <c r="AA194">
        <v>72</v>
      </c>
      <c r="AB194">
        <v>17</v>
      </c>
      <c r="AC194">
        <v>-6</v>
      </c>
      <c r="AD194">
        <v>10</v>
      </c>
      <c r="AE194">
        <v>89</v>
      </c>
      <c r="AF194">
        <v>1</v>
      </c>
      <c r="AG194">
        <v>9</v>
      </c>
    </row>
    <row r="195" spans="1:33">
      <c r="A195">
        <v>2020</v>
      </c>
      <c r="B195">
        <v>2</v>
      </c>
      <c r="C195" s="2" t="s">
        <v>56</v>
      </c>
      <c r="D195" s="3">
        <v>19</v>
      </c>
      <c r="E195" s="3">
        <v>78</v>
      </c>
      <c r="F195" s="3">
        <v>3</v>
      </c>
      <c r="G195" s="3">
        <v>16</v>
      </c>
      <c r="H195" s="3">
        <v>16</v>
      </c>
      <c r="I195" s="3">
        <v>79</v>
      </c>
      <c r="J195" s="3">
        <v>5</v>
      </c>
      <c r="K195" s="3">
        <v>11</v>
      </c>
      <c r="L195">
        <v>68</v>
      </c>
      <c r="M195">
        <v>31</v>
      </c>
      <c r="N195">
        <v>1</v>
      </c>
      <c r="O195">
        <v>67</v>
      </c>
      <c r="U195" s="3">
        <v>5</v>
      </c>
      <c r="V195" s="3">
        <v>93</v>
      </c>
      <c r="W195" s="3">
        <v>2</v>
      </c>
      <c r="X195" s="3">
        <v>3</v>
      </c>
      <c r="Y195">
        <f t="shared" ref="Y195:Y258" si="3">(G195+K195-X195)/3</f>
        <v>8</v>
      </c>
      <c r="Z195">
        <v>25</v>
      </c>
      <c r="AA195">
        <v>67</v>
      </c>
      <c r="AB195">
        <v>8</v>
      </c>
      <c r="AC195">
        <v>17</v>
      </c>
      <c r="AD195">
        <v>10</v>
      </c>
      <c r="AE195">
        <v>89</v>
      </c>
      <c r="AF195">
        <v>1</v>
      </c>
      <c r="AG195">
        <v>9</v>
      </c>
    </row>
    <row r="196" spans="1:33">
      <c r="A196">
        <v>2020</v>
      </c>
      <c r="B196">
        <v>3</v>
      </c>
      <c r="C196" s="2" t="s">
        <v>55</v>
      </c>
      <c r="D196" s="3">
        <v>14</v>
      </c>
      <c r="E196" s="3">
        <v>75</v>
      </c>
      <c r="F196" s="3">
        <v>11</v>
      </c>
      <c r="G196" s="3">
        <v>3</v>
      </c>
      <c r="H196" s="3">
        <v>11</v>
      </c>
      <c r="I196" s="3">
        <v>83</v>
      </c>
      <c r="J196" s="3">
        <v>6</v>
      </c>
      <c r="K196" s="3">
        <v>5</v>
      </c>
      <c r="L196">
        <v>67</v>
      </c>
      <c r="M196">
        <v>32</v>
      </c>
      <c r="N196">
        <v>1</v>
      </c>
      <c r="O196">
        <v>66</v>
      </c>
      <c r="U196" s="3">
        <v>3</v>
      </c>
      <c r="V196" s="3">
        <v>96</v>
      </c>
      <c r="W196" s="3">
        <v>1</v>
      </c>
      <c r="X196" s="3">
        <v>2</v>
      </c>
      <c r="Y196">
        <f t="shared" si="3"/>
        <v>2</v>
      </c>
      <c r="Z196">
        <v>23</v>
      </c>
      <c r="AA196">
        <v>66</v>
      </c>
      <c r="AB196">
        <v>11</v>
      </c>
      <c r="AC196">
        <v>12</v>
      </c>
      <c r="AD196">
        <v>6</v>
      </c>
      <c r="AE196">
        <v>93</v>
      </c>
      <c r="AF196">
        <v>1</v>
      </c>
      <c r="AG196">
        <v>5</v>
      </c>
    </row>
    <row r="197" spans="1:33">
      <c r="A197">
        <v>2020</v>
      </c>
      <c r="B197">
        <v>4</v>
      </c>
      <c r="C197" s="2" t="s">
        <v>54</v>
      </c>
      <c r="D197" s="3">
        <v>6</v>
      </c>
      <c r="E197" s="3">
        <v>48</v>
      </c>
      <c r="F197" s="3">
        <v>46</v>
      </c>
      <c r="G197" s="3">
        <v>-40</v>
      </c>
      <c r="H197" s="3">
        <v>8</v>
      </c>
      <c r="I197" s="3">
        <v>52</v>
      </c>
      <c r="J197" s="3">
        <v>40</v>
      </c>
      <c r="K197" s="3">
        <v>-32</v>
      </c>
      <c r="L197">
        <v>41</v>
      </c>
      <c r="M197">
        <v>39</v>
      </c>
      <c r="N197">
        <v>20</v>
      </c>
      <c r="O197">
        <v>21</v>
      </c>
      <c r="U197" s="3">
        <v>8</v>
      </c>
      <c r="V197" s="3">
        <v>88</v>
      </c>
      <c r="W197" s="3">
        <v>4</v>
      </c>
      <c r="X197" s="3">
        <v>4</v>
      </c>
      <c r="Y197">
        <f t="shared" si="3"/>
        <v>-25.333333333333332</v>
      </c>
      <c r="Z197">
        <v>11</v>
      </c>
      <c r="AA197">
        <v>45</v>
      </c>
      <c r="AB197">
        <v>44</v>
      </c>
      <c r="AC197">
        <v>-33</v>
      </c>
      <c r="AD197">
        <v>3</v>
      </c>
      <c r="AE197">
        <v>87</v>
      </c>
      <c r="AF197">
        <v>10</v>
      </c>
      <c r="AG197">
        <v>-7</v>
      </c>
    </row>
    <row r="198" spans="1:33">
      <c r="A198">
        <v>2020</v>
      </c>
      <c r="B198">
        <v>5</v>
      </c>
      <c r="C198" s="2" t="s">
        <v>53</v>
      </c>
      <c r="D198" s="3">
        <v>20</v>
      </c>
      <c r="E198" s="3">
        <v>55</v>
      </c>
      <c r="F198" s="3">
        <v>25</v>
      </c>
      <c r="G198" s="3">
        <v>-5</v>
      </c>
      <c r="H198" s="3">
        <v>4</v>
      </c>
      <c r="I198" s="3">
        <v>41</v>
      </c>
      <c r="J198" s="3">
        <v>55</v>
      </c>
      <c r="K198" s="3">
        <v>-51</v>
      </c>
      <c r="L198">
        <v>42</v>
      </c>
      <c r="M198">
        <v>41</v>
      </c>
      <c r="N198">
        <v>17</v>
      </c>
      <c r="O198">
        <v>25</v>
      </c>
      <c r="U198" s="3">
        <v>8</v>
      </c>
      <c r="V198" s="3">
        <v>89</v>
      </c>
      <c r="W198" s="3">
        <v>3</v>
      </c>
      <c r="X198" s="3">
        <v>5</v>
      </c>
      <c r="Y198">
        <f t="shared" si="3"/>
        <v>-20.333333333333332</v>
      </c>
      <c r="Z198">
        <v>7</v>
      </c>
      <c r="AA198">
        <v>60</v>
      </c>
      <c r="AB198">
        <v>33</v>
      </c>
      <c r="AC198">
        <v>-26</v>
      </c>
      <c r="AD198">
        <v>3</v>
      </c>
      <c r="AE198">
        <v>89</v>
      </c>
      <c r="AF198">
        <v>8</v>
      </c>
      <c r="AG198">
        <v>-5</v>
      </c>
    </row>
    <row r="199" spans="1:33">
      <c r="A199">
        <v>2020</v>
      </c>
      <c r="B199">
        <v>6</v>
      </c>
      <c r="C199" s="2" t="s">
        <v>52</v>
      </c>
      <c r="D199" s="3">
        <v>22</v>
      </c>
      <c r="E199" s="3">
        <v>64</v>
      </c>
      <c r="F199" s="3">
        <v>14</v>
      </c>
      <c r="G199" s="3">
        <v>8</v>
      </c>
      <c r="H199" s="3">
        <v>6</v>
      </c>
      <c r="I199" s="3">
        <v>51</v>
      </c>
      <c r="J199" s="3">
        <v>43</v>
      </c>
      <c r="K199" s="3">
        <v>-37</v>
      </c>
      <c r="L199">
        <v>51</v>
      </c>
      <c r="M199">
        <v>37</v>
      </c>
      <c r="N199">
        <v>12</v>
      </c>
      <c r="O199">
        <v>39</v>
      </c>
      <c r="U199" s="3">
        <v>7</v>
      </c>
      <c r="V199" s="3">
        <v>89</v>
      </c>
      <c r="W199" s="3">
        <v>4</v>
      </c>
      <c r="X199" s="3">
        <v>3</v>
      </c>
      <c r="Y199">
        <f t="shared" si="3"/>
        <v>-10.666666666666666</v>
      </c>
      <c r="Z199">
        <v>16</v>
      </c>
      <c r="AA199">
        <v>61</v>
      </c>
      <c r="AB199">
        <v>23</v>
      </c>
      <c r="AC199">
        <v>-7</v>
      </c>
      <c r="AD199">
        <v>4</v>
      </c>
      <c r="AE199">
        <v>93</v>
      </c>
      <c r="AF199">
        <v>3</v>
      </c>
      <c r="AG199">
        <v>1</v>
      </c>
    </row>
    <row r="200" spans="1:33">
      <c r="A200">
        <v>2020</v>
      </c>
      <c r="B200">
        <v>7</v>
      </c>
      <c r="C200" s="2" t="s">
        <v>51</v>
      </c>
      <c r="D200" s="3">
        <v>25</v>
      </c>
      <c r="E200" s="3">
        <v>68</v>
      </c>
      <c r="F200" s="3">
        <v>7</v>
      </c>
      <c r="G200" s="3">
        <v>18</v>
      </c>
      <c r="H200" s="3">
        <v>21</v>
      </c>
      <c r="I200" s="3">
        <v>52</v>
      </c>
      <c r="J200" s="3">
        <v>27</v>
      </c>
      <c r="K200" s="3">
        <v>-6</v>
      </c>
      <c r="L200">
        <v>54</v>
      </c>
      <c r="M200">
        <v>43</v>
      </c>
      <c r="N200">
        <v>3</v>
      </c>
      <c r="O200">
        <v>51</v>
      </c>
      <c r="U200" s="3">
        <v>5</v>
      </c>
      <c r="V200" s="3">
        <v>90</v>
      </c>
      <c r="W200" s="3">
        <v>5</v>
      </c>
      <c r="X200" s="3">
        <v>0</v>
      </c>
      <c r="Y200">
        <f t="shared" si="3"/>
        <v>4</v>
      </c>
      <c r="Z200">
        <v>12</v>
      </c>
      <c r="AA200">
        <v>77</v>
      </c>
      <c r="AB200">
        <v>11</v>
      </c>
      <c r="AC200">
        <v>1</v>
      </c>
      <c r="AD200">
        <v>3</v>
      </c>
      <c r="AE200">
        <v>95</v>
      </c>
      <c r="AF200">
        <v>2</v>
      </c>
      <c r="AG200">
        <v>1</v>
      </c>
    </row>
    <row r="201" spans="1:33">
      <c r="A201">
        <v>2020</v>
      </c>
      <c r="B201">
        <v>8</v>
      </c>
      <c r="C201" s="2" t="s">
        <v>50</v>
      </c>
      <c r="D201" s="3">
        <v>16</v>
      </c>
      <c r="E201" s="3">
        <v>78</v>
      </c>
      <c r="F201" s="3">
        <v>6</v>
      </c>
      <c r="G201" s="3">
        <v>10</v>
      </c>
      <c r="H201" s="3">
        <v>22</v>
      </c>
      <c r="I201" s="3">
        <v>67</v>
      </c>
      <c r="J201" s="3">
        <v>11</v>
      </c>
      <c r="K201" s="3">
        <v>11</v>
      </c>
      <c r="L201">
        <v>60</v>
      </c>
      <c r="M201">
        <v>37</v>
      </c>
      <c r="N201">
        <v>3</v>
      </c>
      <c r="O201">
        <v>57</v>
      </c>
      <c r="U201" s="3">
        <v>6</v>
      </c>
      <c r="V201" s="3">
        <v>90</v>
      </c>
      <c r="W201" s="3">
        <v>4</v>
      </c>
      <c r="X201" s="3">
        <v>2</v>
      </c>
      <c r="Y201">
        <f t="shared" si="3"/>
        <v>6.333333333333333</v>
      </c>
      <c r="Z201">
        <v>13</v>
      </c>
      <c r="AA201">
        <v>76</v>
      </c>
      <c r="AB201">
        <v>11</v>
      </c>
      <c r="AC201">
        <v>2</v>
      </c>
      <c r="AD201">
        <v>3</v>
      </c>
      <c r="AE201">
        <v>96</v>
      </c>
      <c r="AF201">
        <v>1</v>
      </c>
      <c r="AG201">
        <v>2</v>
      </c>
    </row>
    <row r="202" spans="1:33">
      <c r="A202">
        <v>2020</v>
      </c>
      <c r="B202">
        <v>9</v>
      </c>
      <c r="C202" s="2" t="s">
        <v>49</v>
      </c>
      <c r="D202" s="3">
        <v>14</v>
      </c>
      <c r="E202" s="3">
        <v>80</v>
      </c>
      <c r="F202" s="3">
        <v>6</v>
      </c>
      <c r="G202" s="3">
        <v>8</v>
      </c>
      <c r="H202" s="3">
        <v>24</v>
      </c>
      <c r="I202" s="3">
        <v>67</v>
      </c>
      <c r="J202" s="3">
        <v>9</v>
      </c>
      <c r="K202" s="3">
        <v>15</v>
      </c>
      <c r="L202">
        <v>56</v>
      </c>
      <c r="M202">
        <v>42</v>
      </c>
      <c r="N202">
        <v>2</v>
      </c>
      <c r="O202">
        <v>54</v>
      </c>
      <c r="U202" s="3">
        <v>4</v>
      </c>
      <c r="V202" s="3">
        <v>92</v>
      </c>
      <c r="W202" s="3">
        <v>4</v>
      </c>
      <c r="X202" s="3">
        <v>0</v>
      </c>
      <c r="Y202">
        <f t="shared" si="3"/>
        <v>7.666666666666667</v>
      </c>
      <c r="Z202">
        <v>16</v>
      </c>
      <c r="AA202">
        <v>74</v>
      </c>
      <c r="AB202">
        <v>10</v>
      </c>
      <c r="AC202">
        <v>6</v>
      </c>
      <c r="AD202">
        <v>4</v>
      </c>
      <c r="AE202">
        <v>95</v>
      </c>
      <c r="AF202">
        <v>1</v>
      </c>
      <c r="AG202">
        <v>3</v>
      </c>
    </row>
    <row r="203" spans="1:33">
      <c r="A203">
        <v>2020</v>
      </c>
      <c r="B203">
        <v>10</v>
      </c>
      <c r="C203" s="2" t="s">
        <v>48</v>
      </c>
      <c r="D203" s="3">
        <v>15</v>
      </c>
      <c r="E203" s="3">
        <v>74</v>
      </c>
      <c r="F203" s="3">
        <v>11</v>
      </c>
      <c r="G203" s="3">
        <v>4</v>
      </c>
      <c r="H203" s="3">
        <v>21</v>
      </c>
      <c r="I203" s="3">
        <v>73</v>
      </c>
      <c r="J203" s="3">
        <v>6</v>
      </c>
      <c r="K203" s="3">
        <v>15</v>
      </c>
      <c r="L203">
        <v>59</v>
      </c>
      <c r="M203">
        <v>39</v>
      </c>
      <c r="N203">
        <v>2</v>
      </c>
      <c r="O203">
        <v>57</v>
      </c>
      <c r="U203" s="3">
        <v>4</v>
      </c>
      <c r="V203" s="3">
        <v>92</v>
      </c>
      <c r="W203" s="3">
        <v>4</v>
      </c>
      <c r="X203" s="3">
        <v>0</v>
      </c>
      <c r="Y203">
        <f t="shared" si="3"/>
        <v>6.333333333333333</v>
      </c>
      <c r="Z203">
        <v>25</v>
      </c>
      <c r="AA203">
        <v>64</v>
      </c>
      <c r="AB203">
        <v>11</v>
      </c>
      <c r="AC203">
        <v>14</v>
      </c>
      <c r="AD203">
        <v>3</v>
      </c>
      <c r="AE203">
        <v>96</v>
      </c>
      <c r="AF203">
        <v>1</v>
      </c>
      <c r="AG203">
        <v>2</v>
      </c>
    </row>
    <row r="204" spans="1:33">
      <c r="A204">
        <v>2020</v>
      </c>
      <c r="B204">
        <v>11</v>
      </c>
      <c r="C204" s="2" t="s">
        <v>47</v>
      </c>
      <c r="D204" s="3">
        <v>13</v>
      </c>
      <c r="E204" s="3">
        <v>65</v>
      </c>
      <c r="F204" s="3">
        <v>22</v>
      </c>
      <c r="G204" s="3">
        <v>-9</v>
      </c>
      <c r="H204" s="3">
        <v>12</v>
      </c>
      <c r="I204" s="3">
        <v>77</v>
      </c>
      <c r="J204" s="3">
        <v>11</v>
      </c>
      <c r="K204" s="3">
        <v>1</v>
      </c>
      <c r="L204">
        <v>51</v>
      </c>
      <c r="M204">
        <v>47</v>
      </c>
      <c r="N204">
        <v>2</v>
      </c>
      <c r="O204">
        <v>49</v>
      </c>
      <c r="U204" s="3">
        <v>4</v>
      </c>
      <c r="V204" s="3">
        <v>93</v>
      </c>
      <c r="W204" s="3">
        <v>3</v>
      </c>
      <c r="X204" s="3">
        <v>1</v>
      </c>
      <c r="Y204">
        <f t="shared" si="3"/>
        <v>-3</v>
      </c>
      <c r="Z204">
        <v>17</v>
      </c>
      <c r="AA204">
        <v>66</v>
      </c>
      <c r="AB204">
        <v>17</v>
      </c>
      <c r="AC204">
        <v>0</v>
      </c>
      <c r="AD204">
        <v>3</v>
      </c>
      <c r="AE204">
        <v>96</v>
      </c>
      <c r="AF204">
        <v>1</v>
      </c>
      <c r="AG204">
        <v>2</v>
      </c>
    </row>
    <row r="205" spans="1:33">
      <c r="A205">
        <v>2020</v>
      </c>
      <c r="B205">
        <v>12</v>
      </c>
      <c r="C205" s="2" t="s">
        <v>46</v>
      </c>
      <c r="D205" s="3">
        <v>7</v>
      </c>
      <c r="E205" s="3">
        <v>70</v>
      </c>
      <c r="F205" s="3">
        <v>23</v>
      </c>
      <c r="G205" s="3">
        <v>-15</v>
      </c>
      <c r="H205" s="3">
        <v>11</v>
      </c>
      <c r="I205" s="3">
        <v>71</v>
      </c>
      <c r="J205" s="3">
        <v>19</v>
      </c>
      <c r="K205" s="3">
        <v>-8</v>
      </c>
      <c r="L205">
        <v>54</v>
      </c>
      <c r="M205">
        <v>43</v>
      </c>
      <c r="N205">
        <v>3</v>
      </c>
      <c r="O205">
        <v>51</v>
      </c>
      <c r="U205" s="3">
        <v>5</v>
      </c>
      <c r="V205" s="3">
        <v>91</v>
      </c>
      <c r="W205" s="3">
        <v>4</v>
      </c>
      <c r="X205" s="3">
        <v>1</v>
      </c>
      <c r="Y205">
        <f t="shared" si="3"/>
        <v>-8</v>
      </c>
      <c r="Z205">
        <v>20</v>
      </c>
      <c r="AA205">
        <v>55</v>
      </c>
      <c r="AB205">
        <v>26</v>
      </c>
      <c r="AC205">
        <v>-6</v>
      </c>
      <c r="AD205">
        <v>4</v>
      </c>
      <c r="AE205">
        <v>95</v>
      </c>
      <c r="AF205">
        <v>1</v>
      </c>
      <c r="AG205">
        <v>2</v>
      </c>
    </row>
    <row r="206" spans="1:33">
      <c r="A206">
        <v>2021</v>
      </c>
      <c r="B206">
        <v>1</v>
      </c>
      <c r="C206" s="2" t="s">
        <v>45</v>
      </c>
      <c r="D206" s="3">
        <v>6</v>
      </c>
      <c r="E206" s="3">
        <v>70</v>
      </c>
      <c r="F206" s="3">
        <v>24</v>
      </c>
      <c r="G206" s="3">
        <v>-19</v>
      </c>
      <c r="H206" s="3">
        <v>8</v>
      </c>
      <c r="I206" s="3">
        <v>68</v>
      </c>
      <c r="J206" s="3">
        <v>24</v>
      </c>
      <c r="K206" s="3">
        <v>-17</v>
      </c>
      <c r="L206">
        <v>51</v>
      </c>
      <c r="M206">
        <v>45</v>
      </c>
      <c r="N206">
        <v>4</v>
      </c>
      <c r="O206">
        <v>47</v>
      </c>
      <c r="P206" s="6">
        <v>0</v>
      </c>
      <c r="Q206" s="6">
        <v>49</v>
      </c>
      <c r="R206" s="6">
        <v>13</v>
      </c>
      <c r="S206" s="6">
        <v>37</v>
      </c>
      <c r="T206" s="6">
        <v>-18</v>
      </c>
      <c r="U206" s="3">
        <v>6</v>
      </c>
      <c r="V206" s="3">
        <v>91</v>
      </c>
      <c r="W206" s="3">
        <v>2</v>
      </c>
      <c r="X206" s="3">
        <v>4</v>
      </c>
      <c r="Y206">
        <f t="shared" si="3"/>
        <v>-13.333333333333334</v>
      </c>
      <c r="Z206">
        <v>8</v>
      </c>
      <c r="AA206">
        <v>62</v>
      </c>
      <c r="AB206">
        <v>29</v>
      </c>
      <c r="AC206">
        <v>-21</v>
      </c>
      <c r="AD206">
        <v>5</v>
      </c>
      <c r="AE206">
        <v>94</v>
      </c>
      <c r="AF206">
        <v>2</v>
      </c>
      <c r="AG206">
        <v>3</v>
      </c>
    </row>
    <row r="207" spans="1:33">
      <c r="A207">
        <v>2021</v>
      </c>
      <c r="B207">
        <v>2</v>
      </c>
      <c r="C207" s="2" t="s">
        <v>44</v>
      </c>
      <c r="D207" s="3">
        <v>17</v>
      </c>
      <c r="E207" s="3">
        <v>68</v>
      </c>
      <c r="F207" s="3">
        <v>15</v>
      </c>
      <c r="G207" s="3">
        <v>2</v>
      </c>
      <c r="H207" s="3">
        <v>8</v>
      </c>
      <c r="I207" s="3">
        <v>55</v>
      </c>
      <c r="J207" s="3">
        <v>37</v>
      </c>
      <c r="K207" s="3">
        <v>-28</v>
      </c>
      <c r="L207">
        <v>44</v>
      </c>
      <c r="M207">
        <v>49</v>
      </c>
      <c r="N207">
        <v>7</v>
      </c>
      <c r="O207">
        <v>37</v>
      </c>
      <c r="P207" s="6">
        <v>0</v>
      </c>
      <c r="Q207" s="6">
        <v>53</v>
      </c>
      <c r="R207" s="6">
        <v>15</v>
      </c>
      <c r="S207" s="6">
        <v>31</v>
      </c>
      <c r="T207" s="6">
        <v>-11</v>
      </c>
      <c r="U207" s="3">
        <v>6</v>
      </c>
      <c r="V207" s="3">
        <v>90</v>
      </c>
      <c r="W207" s="3">
        <v>4</v>
      </c>
      <c r="X207" s="3">
        <v>2</v>
      </c>
      <c r="Y207">
        <f t="shared" si="3"/>
        <v>-9.3333333333333339</v>
      </c>
      <c r="Z207">
        <v>16</v>
      </c>
      <c r="AA207">
        <v>66</v>
      </c>
      <c r="AB207">
        <v>18</v>
      </c>
      <c r="AC207">
        <v>-1</v>
      </c>
      <c r="AD207">
        <v>7</v>
      </c>
      <c r="AE207">
        <v>93</v>
      </c>
      <c r="AF207">
        <v>1</v>
      </c>
      <c r="AG207">
        <v>6</v>
      </c>
    </row>
    <row r="208" spans="1:33">
      <c r="A208">
        <v>2021</v>
      </c>
      <c r="B208">
        <v>3</v>
      </c>
      <c r="C208" s="2" t="s">
        <v>43</v>
      </c>
      <c r="D208" s="3">
        <v>22</v>
      </c>
      <c r="E208" s="3">
        <v>65</v>
      </c>
      <c r="F208" s="3">
        <v>12</v>
      </c>
      <c r="G208" s="3">
        <v>10</v>
      </c>
      <c r="H208" s="3">
        <v>9</v>
      </c>
      <c r="I208" s="3">
        <v>61</v>
      </c>
      <c r="J208" s="3">
        <v>31</v>
      </c>
      <c r="K208" s="3">
        <v>-22</v>
      </c>
      <c r="L208">
        <v>44</v>
      </c>
      <c r="M208">
        <v>46</v>
      </c>
      <c r="N208">
        <v>10</v>
      </c>
      <c r="O208">
        <v>35</v>
      </c>
      <c r="P208" s="6">
        <v>1</v>
      </c>
      <c r="Q208" s="6">
        <v>55</v>
      </c>
      <c r="R208" s="6">
        <v>12</v>
      </c>
      <c r="S208" s="6">
        <v>32</v>
      </c>
      <c r="T208" s="6">
        <v>-10</v>
      </c>
      <c r="U208" s="3">
        <v>5</v>
      </c>
      <c r="V208" s="3">
        <v>91</v>
      </c>
      <c r="W208" s="3">
        <v>4</v>
      </c>
      <c r="X208" s="3">
        <v>1</v>
      </c>
      <c r="Y208">
        <f t="shared" si="3"/>
        <v>-4.333333333333333</v>
      </c>
      <c r="Z208">
        <v>24</v>
      </c>
      <c r="AA208">
        <v>60</v>
      </c>
      <c r="AB208">
        <v>16</v>
      </c>
      <c r="AC208">
        <v>8</v>
      </c>
      <c r="AD208">
        <v>13</v>
      </c>
      <c r="AE208">
        <v>87</v>
      </c>
      <c r="AF208">
        <v>0</v>
      </c>
      <c r="AG208">
        <v>12</v>
      </c>
    </row>
    <row r="209" spans="1:33">
      <c r="A209">
        <v>2021</v>
      </c>
      <c r="B209">
        <v>4</v>
      </c>
      <c r="C209" s="2" t="s">
        <v>42</v>
      </c>
      <c r="D209" s="3">
        <v>22</v>
      </c>
      <c r="E209" s="3">
        <v>72</v>
      </c>
      <c r="F209" s="3">
        <v>7</v>
      </c>
      <c r="G209" s="3">
        <v>15</v>
      </c>
      <c r="H209" s="3">
        <v>8</v>
      </c>
      <c r="I209" s="3">
        <v>66</v>
      </c>
      <c r="J209" s="3">
        <v>26</v>
      </c>
      <c r="K209" s="3">
        <v>-18</v>
      </c>
      <c r="L209">
        <v>42</v>
      </c>
      <c r="M209">
        <v>52</v>
      </c>
      <c r="N209">
        <v>6</v>
      </c>
      <c r="O209">
        <v>36</v>
      </c>
      <c r="P209" s="6">
        <v>0</v>
      </c>
      <c r="Q209" s="6">
        <v>55</v>
      </c>
      <c r="R209" s="6">
        <v>14</v>
      </c>
      <c r="S209" s="6">
        <v>31</v>
      </c>
      <c r="T209" s="6">
        <v>-10</v>
      </c>
      <c r="U209" s="3">
        <v>4</v>
      </c>
      <c r="V209" s="3">
        <v>91</v>
      </c>
      <c r="W209" s="3">
        <v>5</v>
      </c>
      <c r="X209" s="3">
        <v>-1</v>
      </c>
      <c r="Y209">
        <f t="shared" si="3"/>
        <v>-0.66666666666666663</v>
      </c>
      <c r="Z209">
        <v>12</v>
      </c>
      <c r="AA209">
        <v>79</v>
      </c>
      <c r="AB209">
        <v>9</v>
      </c>
      <c r="AC209">
        <v>3</v>
      </c>
      <c r="AD209">
        <v>8</v>
      </c>
      <c r="AE209">
        <v>92</v>
      </c>
      <c r="AF209">
        <v>0</v>
      </c>
      <c r="AG209">
        <v>7</v>
      </c>
    </row>
    <row r="210" spans="1:33">
      <c r="A210">
        <v>2021</v>
      </c>
      <c r="B210">
        <v>5</v>
      </c>
      <c r="C210" s="2" t="s">
        <v>41</v>
      </c>
      <c r="D210" s="3">
        <v>21</v>
      </c>
      <c r="E210" s="3">
        <v>75</v>
      </c>
      <c r="F210" s="3">
        <v>4</v>
      </c>
      <c r="G210" s="3">
        <v>17</v>
      </c>
      <c r="H210" s="3">
        <v>22</v>
      </c>
      <c r="I210" s="3">
        <v>62</v>
      </c>
      <c r="J210" s="3">
        <v>16</v>
      </c>
      <c r="K210" s="3">
        <v>7</v>
      </c>
      <c r="L210">
        <v>41</v>
      </c>
      <c r="M210">
        <v>56</v>
      </c>
      <c r="N210">
        <v>3</v>
      </c>
      <c r="O210">
        <v>38</v>
      </c>
      <c r="P210" s="6">
        <v>1</v>
      </c>
      <c r="Q210" s="6">
        <v>50</v>
      </c>
      <c r="R210" s="6">
        <v>11</v>
      </c>
      <c r="S210" s="6">
        <v>39</v>
      </c>
      <c r="T210" s="6">
        <v>-19</v>
      </c>
      <c r="U210" s="3">
        <v>2</v>
      </c>
      <c r="V210" s="3">
        <v>94</v>
      </c>
      <c r="W210" s="3">
        <v>4</v>
      </c>
      <c r="X210" s="3">
        <v>-1</v>
      </c>
      <c r="Y210">
        <f t="shared" si="3"/>
        <v>8.3333333333333339</v>
      </c>
      <c r="Z210">
        <v>13</v>
      </c>
      <c r="AA210">
        <v>79</v>
      </c>
      <c r="AB210">
        <v>8</v>
      </c>
      <c r="AC210">
        <v>5</v>
      </c>
      <c r="AD210">
        <v>11</v>
      </c>
      <c r="AE210">
        <v>89</v>
      </c>
      <c r="AF210">
        <v>0</v>
      </c>
      <c r="AG210">
        <v>11</v>
      </c>
    </row>
    <row r="211" spans="1:33">
      <c r="A211">
        <v>2021</v>
      </c>
      <c r="B211">
        <v>6</v>
      </c>
      <c r="C211" s="2" t="s">
        <v>40</v>
      </c>
      <c r="D211" s="3">
        <v>23</v>
      </c>
      <c r="E211" s="3">
        <v>74</v>
      </c>
      <c r="F211" s="3">
        <v>3</v>
      </c>
      <c r="G211" s="3">
        <v>20</v>
      </c>
      <c r="H211" s="3">
        <v>24</v>
      </c>
      <c r="I211" s="3">
        <v>71</v>
      </c>
      <c r="J211" s="3">
        <v>5</v>
      </c>
      <c r="K211" s="3">
        <v>19</v>
      </c>
      <c r="L211">
        <v>43</v>
      </c>
      <c r="M211">
        <v>55</v>
      </c>
      <c r="N211">
        <v>2</v>
      </c>
      <c r="O211">
        <v>42</v>
      </c>
      <c r="P211" s="6">
        <v>1</v>
      </c>
      <c r="Q211" s="6">
        <v>52</v>
      </c>
      <c r="R211" s="6">
        <v>10</v>
      </c>
      <c r="S211" s="6">
        <v>37</v>
      </c>
      <c r="T211" s="6">
        <v>-15</v>
      </c>
      <c r="U211" s="3">
        <v>3</v>
      </c>
      <c r="V211" s="3">
        <v>91</v>
      </c>
      <c r="W211" s="3">
        <v>6</v>
      </c>
      <c r="X211" s="3">
        <v>-3</v>
      </c>
      <c r="Y211">
        <f t="shared" si="3"/>
        <v>14</v>
      </c>
      <c r="Z211">
        <v>17</v>
      </c>
      <c r="AA211">
        <v>77</v>
      </c>
      <c r="AB211">
        <v>6</v>
      </c>
      <c r="AC211">
        <v>11</v>
      </c>
      <c r="AD211">
        <v>17</v>
      </c>
      <c r="AE211">
        <v>82</v>
      </c>
      <c r="AF211">
        <v>1</v>
      </c>
      <c r="AG211">
        <v>17</v>
      </c>
    </row>
    <row r="212" spans="1:33">
      <c r="A212">
        <v>2021</v>
      </c>
      <c r="B212">
        <v>7</v>
      </c>
      <c r="C212" s="2" t="s">
        <v>39</v>
      </c>
      <c r="D212" s="3">
        <v>20</v>
      </c>
      <c r="E212" s="3">
        <v>74</v>
      </c>
      <c r="F212" s="3">
        <v>6</v>
      </c>
      <c r="G212" s="3">
        <v>15</v>
      </c>
      <c r="H212" s="3">
        <v>31</v>
      </c>
      <c r="I212" s="3">
        <v>64</v>
      </c>
      <c r="J212" s="3">
        <v>5</v>
      </c>
      <c r="K212" s="3">
        <v>26</v>
      </c>
      <c r="L212">
        <v>45</v>
      </c>
      <c r="M212">
        <v>53</v>
      </c>
      <c r="N212">
        <v>1</v>
      </c>
      <c r="O212">
        <v>44</v>
      </c>
      <c r="P212" s="6">
        <v>2</v>
      </c>
      <c r="Q212" s="6">
        <v>47</v>
      </c>
      <c r="R212" s="6">
        <v>11</v>
      </c>
      <c r="S212" s="6">
        <v>40</v>
      </c>
      <c r="T212" s="6">
        <v>-20</v>
      </c>
      <c r="U212" s="3">
        <v>3</v>
      </c>
      <c r="V212" s="3">
        <v>91</v>
      </c>
      <c r="W212" s="3">
        <v>7</v>
      </c>
      <c r="X212" s="3">
        <v>-4</v>
      </c>
      <c r="Y212">
        <f t="shared" si="3"/>
        <v>15</v>
      </c>
      <c r="Z212">
        <v>16</v>
      </c>
      <c r="AA212">
        <v>75</v>
      </c>
      <c r="AB212">
        <v>9</v>
      </c>
      <c r="AC212">
        <v>6</v>
      </c>
      <c r="AD212">
        <v>12</v>
      </c>
      <c r="AE212">
        <v>87</v>
      </c>
      <c r="AF212">
        <v>0</v>
      </c>
      <c r="AG212">
        <v>12</v>
      </c>
    </row>
    <row r="213" spans="1:33">
      <c r="A213">
        <v>2021</v>
      </c>
      <c r="B213">
        <v>8</v>
      </c>
      <c r="C213" s="2" t="s">
        <v>38</v>
      </c>
      <c r="D213" s="3">
        <v>19</v>
      </c>
      <c r="E213" s="3">
        <v>75</v>
      </c>
      <c r="F213" s="3">
        <v>5</v>
      </c>
      <c r="G213" s="3">
        <v>14</v>
      </c>
      <c r="H213" s="3">
        <v>32</v>
      </c>
      <c r="I213" s="3">
        <v>64</v>
      </c>
      <c r="J213" s="3">
        <v>4</v>
      </c>
      <c r="K213" s="3">
        <v>27</v>
      </c>
      <c r="L213">
        <v>51</v>
      </c>
      <c r="M213">
        <v>48</v>
      </c>
      <c r="N213">
        <v>1</v>
      </c>
      <c r="O213">
        <v>49</v>
      </c>
      <c r="P213" s="6">
        <v>1</v>
      </c>
      <c r="Q213" s="6">
        <v>50</v>
      </c>
      <c r="R213" s="6">
        <v>11</v>
      </c>
      <c r="S213" s="6">
        <v>37</v>
      </c>
      <c r="T213" s="6">
        <v>-17</v>
      </c>
      <c r="U213" s="3">
        <v>2</v>
      </c>
      <c r="V213" s="3">
        <v>92</v>
      </c>
      <c r="W213" s="3">
        <v>6</v>
      </c>
      <c r="X213" s="3">
        <v>-4</v>
      </c>
      <c r="Y213">
        <f t="shared" si="3"/>
        <v>15</v>
      </c>
      <c r="Z213">
        <v>13</v>
      </c>
      <c r="AA213">
        <v>78</v>
      </c>
      <c r="AB213">
        <v>9</v>
      </c>
      <c r="AC213">
        <v>5</v>
      </c>
      <c r="AD213">
        <v>13</v>
      </c>
      <c r="AE213">
        <v>86</v>
      </c>
      <c r="AF213">
        <v>0</v>
      </c>
      <c r="AG213">
        <v>13</v>
      </c>
    </row>
    <row r="214" spans="1:33">
      <c r="A214">
        <v>2021</v>
      </c>
      <c r="B214">
        <v>9</v>
      </c>
      <c r="C214" s="2" t="s">
        <v>37</v>
      </c>
      <c r="D214" s="3">
        <v>18</v>
      </c>
      <c r="E214" s="3">
        <v>76</v>
      </c>
      <c r="F214" s="3">
        <v>7</v>
      </c>
      <c r="G214" s="3">
        <v>11</v>
      </c>
      <c r="H214" s="3">
        <v>28</v>
      </c>
      <c r="I214" s="3">
        <v>67</v>
      </c>
      <c r="J214" s="3">
        <v>5</v>
      </c>
      <c r="K214" s="3">
        <v>22</v>
      </c>
      <c r="L214">
        <v>48</v>
      </c>
      <c r="M214">
        <v>51</v>
      </c>
      <c r="N214">
        <v>1</v>
      </c>
      <c r="O214">
        <v>47</v>
      </c>
      <c r="P214" s="6">
        <v>2</v>
      </c>
      <c r="Q214" s="6">
        <v>44</v>
      </c>
      <c r="R214" s="6">
        <v>13</v>
      </c>
      <c r="S214" s="6">
        <v>42</v>
      </c>
      <c r="T214" s="6">
        <v>-24</v>
      </c>
      <c r="U214" s="3">
        <v>4</v>
      </c>
      <c r="V214" s="3">
        <v>86</v>
      </c>
      <c r="W214" s="3">
        <v>11</v>
      </c>
      <c r="X214" s="3">
        <v>-7</v>
      </c>
      <c r="Y214">
        <f t="shared" si="3"/>
        <v>13.333333333333334</v>
      </c>
      <c r="Z214">
        <v>19</v>
      </c>
      <c r="AA214">
        <v>70</v>
      </c>
      <c r="AB214">
        <v>11</v>
      </c>
      <c r="AC214">
        <v>7</v>
      </c>
      <c r="AD214">
        <v>20</v>
      </c>
      <c r="AE214">
        <v>80</v>
      </c>
      <c r="AF214">
        <v>0</v>
      </c>
      <c r="AG214">
        <v>20</v>
      </c>
    </row>
    <row r="215" spans="1:33">
      <c r="A215">
        <v>2021</v>
      </c>
      <c r="B215">
        <v>10</v>
      </c>
      <c r="C215" s="2" t="s">
        <v>36</v>
      </c>
      <c r="D215" s="3">
        <v>14</v>
      </c>
      <c r="E215" s="3">
        <v>78</v>
      </c>
      <c r="F215" s="3">
        <v>8</v>
      </c>
      <c r="G215" s="3">
        <v>6</v>
      </c>
      <c r="H215" s="3">
        <v>28</v>
      </c>
      <c r="I215" s="3">
        <v>65</v>
      </c>
      <c r="J215" s="3">
        <v>8</v>
      </c>
      <c r="K215" s="3">
        <v>20</v>
      </c>
      <c r="L215">
        <v>46</v>
      </c>
      <c r="M215">
        <v>53</v>
      </c>
      <c r="N215">
        <v>1</v>
      </c>
      <c r="O215">
        <v>45</v>
      </c>
      <c r="P215" s="6">
        <v>1</v>
      </c>
      <c r="Q215" s="6">
        <v>52</v>
      </c>
      <c r="R215" s="6">
        <v>12</v>
      </c>
      <c r="S215" s="6">
        <v>35</v>
      </c>
      <c r="T215" s="6">
        <v>-14</v>
      </c>
      <c r="U215" s="3">
        <v>4</v>
      </c>
      <c r="V215" s="3">
        <v>88</v>
      </c>
      <c r="W215" s="3">
        <v>8</v>
      </c>
      <c r="X215" s="3">
        <v>-4</v>
      </c>
      <c r="Y215">
        <f t="shared" si="3"/>
        <v>10</v>
      </c>
      <c r="Z215">
        <v>23</v>
      </c>
      <c r="AA215">
        <v>66</v>
      </c>
      <c r="AB215">
        <v>10</v>
      </c>
      <c r="AC215">
        <v>13</v>
      </c>
      <c r="AD215">
        <v>26</v>
      </c>
      <c r="AE215">
        <v>73</v>
      </c>
      <c r="AF215">
        <v>1</v>
      </c>
      <c r="AG215">
        <v>25</v>
      </c>
    </row>
    <row r="216" spans="1:33">
      <c r="A216">
        <v>2021</v>
      </c>
      <c r="B216">
        <v>11</v>
      </c>
      <c r="C216" s="2" t="s">
        <v>35</v>
      </c>
      <c r="D216" s="3">
        <v>12</v>
      </c>
      <c r="E216" s="3">
        <v>77</v>
      </c>
      <c r="F216" s="3">
        <v>11</v>
      </c>
      <c r="G216" s="3">
        <v>2</v>
      </c>
      <c r="H216" s="3">
        <v>18</v>
      </c>
      <c r="I216" s="3">
        <v>72</v>
      </c>
      <c r="J216" s="3">
        <v>10</v>
      </c>
      <c r="K216" s="3">
        <v>9</v>
      </c>
      <c r="L216">
        <v>45</v>
      </c>
      <c r="M216">
        <v>53</v>
      </c>
      <c r="N216">
        <v>2</v>
      </c>
      <c r="O216">
        <v>43</v>
      </c>
      <c r="P216" s="6">
        <v>1</v>
      </c>
      <c r="Q216" s="6">
        <v>57</v>
      </c>
      <c r="R216" s="6">
        <v>10</v>
      </c>
      <c r="S216" s="6">
        <v>32</v>
      </c>
      <c r="T216" s="6">
        <v>-8</v>
      </c>
      <c r="U216" s="3">
        <v>4</v>
      </c>
      <c r="V216" s="3">
        <v>86</v>
      </c>
      <c r="W216" s="3">
        <v>10</v>
      </c>
      <c r="X216" s="3">
        <v>-6</v>
      </c>
      <c r="Y216">
        <f t="shared" si="3"/>
        <v>5.666666666666667</v>
      </c>
      <c r="Z216">
        <v>25</v>
      </c>
      <c r="AA216">
        <v>59</v>
      </c>
      <c r="AB216">
        <v>16</v>
      </c>
      <c r="AC216">
        <v>10</v>
      </c>
      <c r="AD216">
        <v>23</v>
      </c>
      <c r="AE216">
        <v>76</v>
      </c>
      <c r="AF216">
        <v>1</v>
      </c>
      <c r="AG216">
        <v>22</v>
      </c>
    </row>
    <row r="217" spans="1:33">
      <c r="A217">
        <v>2021</v>
      </c>
      <c r="B217">
        <v>12</v>
      </c>
      <c r="C217" s="2" t="s">
        <v>34</v>
      </c>
      <c r="D217" s="3">
        <v>8</v>
      </c>
      <c r="E217" s="3">
        <v>78</v>
      </c>
      <c r="F217" s="3">
        <v>14</v>
      </c>
      <c r="G217" s="3">
        <v>-6</v>
      </c>
      <c r="H217" s="3">
        <v>19</v>
      </c>
      <c r="I217" s="3">
        <v>69</v>
      </c>
      <c r="J217" s="3">
        <v>11</v>
      </c>
      <c r="K217" s="3">
        <v>8</v>
      </c>
      <c r="L217">
        <v>47</v>
      </c>
      <c r="M217">
        <v>51</v>
      </c>
      <c r="N217">
        <v>2</v>
      </c>
      <c r="O217">
        <v>45</v>
      </c>
      <c r="P217" s="6">
        <v>3</v>
      </c>
      <c r="Q217" s="6">
        <v>51</v>
      </c>
      <c r="R217" s="6">
        <v>13</v>
      </c>
      <c r="S217" s="6">
        <v>33</v>
      </c>
      <c r="T217" s="6">
        <v>-11</v>
      </c>
      <c r="U217" s="3">
        <v>3</v>
      </c>
      <c r="V217" s="3">
        <v>88</v>
      </c>
      <c r="W217" s="3">
        <v>9</v>
      </c>
      <c r="X217" s="3">
        <v>-6</v>
      </c>
      <c r="Y217">
        <f t="shared" si="3"/>
        <v>2.6666666666666665</v>
      </c>
      <c r="Z217">
        <v>12</v>
      </c>
      <c r="AA217">
        <v>71</v>
      </c>
      <c r="AB217">
        <v>17</v>
      </c>
      <c r="AC217">
        <v>-4</v>
      </c>
      <c r="AD217">
        <v>20</v>
      </c>
      <c r="AE217">
        <v>79</v>
      </c>
      <c r="AF217">
        <v>1</v>
      </c>
      <c r="AG217">
        <v>19</v>
      </c>
    </row>
    <row r="218" spans="1:33">
      <c r="A218">
        <v>2022</v>
      </c>
      <c r="B218">
        <v>1</v>
      </c>
      <c r="C218" s="2" t="s">
        <v>33</v>
      </c>
      <c r="D218" s="3">
        <v>10</v>
      </c>
      <c r="E218" s="3">
        <v>81</v>
      </c>
      <c r="F218" s="3">
        <v>9</v>
      </c>
      <c r="G218" s="3">
        <v>1</v>
      </c>
      <c r="H218" s="3">
        <v>18</v>
      </c>
      <c r="I218" s="3">
        <v>70</v>
      </c>
      <c r="J218" s="3">
        <v>12</v>
      </c>
      <c r="K218" s="3">
        <v>6</v>
      </c>
      <c r="L218">
        <v>46</v>
      </c>
      <c r="M218">
        <v>51</v>
      </c>
      <c r="N218">
        <v>3</v>
      </c>
      <c r="O218">
        <v>43</v>
      </c>
      <c r="P218" s="6">
        <v>4</v>
      </c>
      <c r="Q218" s="6">
        <v>50</v>
      </c>
      <c r="R218" s="6">
        <v>12</v>
      </c>
      <c r="S218" s="6">
        <v>34</v>
      </c>
      <c r="T218" s="6">
        <v>-10</v>
      </c>
      <c r="U218" s="3">
        <v>6</v>
      </c>
      <c r="V218" s="3">
        <v>87</v>
      </c>
      <c r="W218" s="3">
        <v>8</v>
      </c>
      <c r="X218" s="3">
        <v>-2</v>
      </c>
      <c r="Y218">
        <f t="shared" si="3"/>
        <v>3</v>
      </c>
      <c r="Z218">
        <v>8</v>
      </c>
      <c r="AA218">
        <v>79</v>
      </c>
      <c r="AB218">
        <v>14</v>
      </c>
      <c r="AC218">
        <v>-6</v>
      </c>
      <c r="AD218">
        <v>29</v>
      </c>
      <c r="AE218">
        <v>69</v>
      </c>
      <c r="AF218">
        <v>1</v>
      </c>
      <c r="AG218">
        <v>28</v>
      </c>
    </row>
    <row r="219" spans="1:33">
      <c r="A219">
        <v>2022</v>
      </c>
      <c r="B219">
        <v>2</v>
      </c>
      <c r="C219" s="2" t="s">
        <v>32</v>
      </c>
      <c r="D219" s="3">
        <v>10</v>
      </c>
      <c r="E219" s="3">
        <v>80</v>
      </c>
      <c r="F219" s="3">
        <v>10</v>
      </c>
      <c r="G219" s="3">
        <v>0</v>
      </c>
      <c r="H219" s="3">
        <v>12</v>
      </c>
      <c r="I219" s="3">
        <v>72</v>
      </c>
      <c r="J219" s="3">
        <v>16</v>
      </c>
      <c r="K219" s="3">
        <v>-4</v>
      </c>
      <c r="L219">
        <v>45</v>
      </c>
      <c r="M219">
        <v>51</v>
      </c>
      <c r="N219">
        <v>4</v>
      </c>
      <c r="O219">
        <v>42</v>
      </c>
      <c r="P219" s="6">
        <v>3</v>
      </c>
      <c r="Q219" s="6">
        <v>48</v>
      </c>
      <c r="R219" s="6">
        <v>13</v>
      </c>
      <c r="S219" s="6">
        <v>36</v>
      </c>
      <c r="T219" s="6">
        <v>-15</v>
      </c>
      <c r="U219" s="3">
        <v>5</v>
      </c>
      <c r="V219" s="3">
        <v>88</v>
      </c>
      <c r="W219" s="3">
        <v>7</v>
      </c>
      <c r="X219" s="3">
        <v>-2</v>
      </c>
      <c r="Y219">
        <f t="shared" si="3"/>
        <v>-0.66666666666666663</v>
      </c>
      <c r="Z219">
        <v>12</v>
      </c>
      <c r="AA219">
        <v>71</v>
      </c>
      <c r="AB219">
        <v>17</v>
      </c>
      <c r="AC219">
        <v>-5</v>
      </c>
      <c r="AD219">
        <v>29</v>
      </c>
      <c r="AE219">
        <v>69</v>
      </c>
      <c r="AF219">
        <v>2</v>
      </c>
      <c r="AG219">
        <v>27</v>
      </c>
    </row>
    <row r="220" spans="1:33">
      <c r="A220">
        <v>2022</v>
      </c>
      <c r="B220">
        <v>3</v>
      </c>
      <c r="C220" s="2" t="s">
        <v>31</v>
      </c>
      <c r="D220" s="3">
        <v>7</v>
      </c>
      <c r="E220" s="3">
        <v>71</v>
      </c>
      <c r="F220" s="3">
        <v>22</v>
      </c>
      <c r="G220" s="3">
        <v>-14</v>
      </c>
      <c r="H220" s="3">
        <v>7</v>
      </c>
      <c r="I220" s="3">
        <v>71</v>
      </c>
      <c r="J220" s="3">
        <v>22</v>
      </c>
      <c r="K220" s="3">
        <v>-14</v>
      </c>
      <c r="L220">
        <v>37</v>
      </c>
      <c r="M220">
        <v>58</v>
      </c>
      <c r="N220">
        <v>5</v>
      </c>
      <c r="O220">
        <v>32</v>
      </c>
      <c r="P220" s="6">
        <v>1</v>
      </c>
      <c r="Q220" s="6">
        <v>48</v>
      </c>
      <c r="R220" s="6">
        <v>22</v>
      </c>
      <c r="S220" s="6">
        <v>29</v>
      </c>
      <c r="T220" s="6">
        <v>-15</v>
      </c>
      <c r="U220" s="3">
        <v>8</v>
      </c>
      <c r="V220" s="3">
        <v>85</v>
      </c>
      <c r="W220" s="3">
        <v>8</v>
      </c>
      <c r="X220" s="3">
        <v>0</v>
      </c>
      <c r="Y220">
        <f t="shared" si="3"/>
        <v>-9.3333333333333339</v>
      </c>
      <c r="Z220">
        <v>11</v>
      </c>
      <c r="AA220">
        <v>72</v>
      </c>
      <c r="AB220">
        <v>17</v>
      </c>
      <c r="AC220">
        <v>-7</v>
      </c>
      <c r="AD220">
        <v>30</v>
      </c>
      <c r="AE220">
        <v>70</v>
      </c>
      <c r="AF220">
        <v>1</v>
      </c>
      <c r="AG220">
        <v>29</v>
      </c>
    </row>
    <row r="221" spans="1:33">
      <c r="A221">
        <v>2022</v>
      </c>
      <c r="B221">
        <v>4</v>
      </c>
      <c r="C221" s="2" t="s">
        <v>30</v>
      </c>
      <c r="D221" s="3">
        <v>13</v>
      </c>
      <c r="E221" s="3">
        <v>76</v>
      </c>
      <c r="F221" s="3">
        <v>12</v>
      </c>
      <c r="G221" s="3">
        <v>1</v>
      </c>
      <c r="H221" s="3">
        <v>7</v>
      </c>
      <c r="I221" s="3">
        <v>69</v>
      </c>
      <c r="J221" s="3">
        <v>24</v>
      </c>
      <c r="K221" s="3">
        <v>-17</v>
      </c>
      <c r="L221">
        <v>41</v>
      </c>
      <c r="M221">
        <v>54</v>
      </c>
      <c r="N221">
        <v>5</v>
      </c>
      <c r="O221">
        <v>35</v>
      </c>
      <c r="P221" s="6">
        <v>2</v>
      </c>
      <c r="Q221" s="6">
        <v>52</v>
      </c>
      <c r="R221" s="6">
        <v>17</v>
      </c>
      <c r="S221" s="6">
        <v>28</v>
      </c>
      <c r="T221" s="6">
        <v>-9</v>
      </c>
      <c r="U221" s="3">
        <v>7</v>
      </c>
      <c r="V221" s="3">
        <v>87</v>
      </c>
      <c r="W221" s="3">
        <v>6</v>
      </c>
      <c r="X221" s="3">
        <v>1</v>
      </c>
      <c r="Y221">
        <f t="shared" si="3"/>
        <v>-5.666666666666667</v>
      </c>
      <c r="Z221">
        <v>11</v>
      </c>
      <c r="AA221">
        <v>74</v>
      </c>
      <c r="AB221">
        <v>15</v>
      </c>
      <c r="AC221">
        <v>-4</v>
      </c>
      <c r="AD221">
        <v>35</v>
      </c>
      <c r="AE221">
        <v>65</v>
      </c>
      <c r="AF221">
        <v>0</v>
      </c>
      <c r="AG221">
        <v>35</v>
      </c>
    </row>
    <row r="222" spans="1:33">
      <c r="A222">
        <v>2022</v>
      </c>
      <c r="B222">
        <v>5</v>
      </c>
      <c r="C222" s="2" t="s">
        <v>29</v>
      </c>
      <c r="D222" s="3">
        <v>11</v>
      </c>
      <c r="E222" s="3">
        <v>80</v>
      </c>
      <c r="F222" s="3">
        <v>10</v>
      </c>
      <c r="G222" s="3">
        <v>1</v>
      </c>
      <c r="H222" s="3">
        <v>14</v>
      </c>
      <c r="I222" s="3">
        <v>67</v>
      </c>
      <c r="J222" s="3">
        <v>19</v>
      </c>
      <c r="K222" s="3">
        <v>-5</v>
      </c>
      <c r="L222">
        <v>42</v>
      </c>
      <c r="M222">
        <v>53</v>
      </c>
      <c r="N222">
        <v>5</v>
      </c>
      <c r="O222">
        <v>38</v>
      </c>
      <c r="P222" s="6">
        <v>4</v>
      </c>
      <c r="Q222" s="6">
        <v>52</v>
      </c>
      <c r="R222" s="6">
        <v>15</v>
      </c>
      <c r="S222" s="6">
        <v>29</v>
      </c>
      <c r="T222" s="6">
        <v>-7</v>
      </c>
      <c r="U222" s="3">
        <v>4</v>
      </c>
      <c r="V222" s="3">
        <v>90</v>
      </c>
      <c r="W222" s="3">
        <v>6</v>
      </c>
      <c r="X222" s="3">
        <v>-3</v>
      </c>
      <c r="Y222">
        <f t="shared" si="3"/>
        <v>-0.33333333333333331</v>
      </c>
      <c r="Z222">
        <v>8</v>
      </c>
      <c r="AA222">
        <v>83</v>
      </c>
      <c r="AB222">
        <v>9</v>
      </c>
      <c r="AC222">
        <v>-2</v>
      </c>
      <c r="AD222">
        <v>35</v>
      </c>
      <c r="AE222">
        <v>65</v>
      </c>
      <c r="AF222">
        <v>1</v>
      </c>
      <c r="AG222">
        <v>34</v>
      </c>
    </row>
    <row r="223" spans="1:33">
      <c r="A223">
        <v>2022</v>
      </c>
      <c r="B223">
        <v>6</v>
      </c>
      <c r="C223" s="2" t="s">
        <v>28</v>
      </c>
      <c r="D223" s="3">
        <v>9</v>
      </c>
      <c r="E223" s="3">
        <v>82</v>
      </c>
      <c r="F223" s="3">
        <v>9</v>
      </c>
      <c r="G223" s="3">
        <v>0</v>
      </c>
      <c r="H223" s="3">
        <v>13</v>
      </c>
      <c r="I223" s="3">
        <v>73</v>
      </c>
      <c r="J223" s="3">
        <v>14</v>
      </c>
      <c r="K223" s="3">
        <v>-1</v>
      </c>
      <c r="L223">
        <v>42</v>
      </c>
      <c r="M223">
        <v>54</v>
      </c>
      <c r="N223">
        <v>5</v>
      </c>
      <c r="O223">
        <v>37</v>
      </c>
      <c r="P223" s="6">
        <v>3</v>
      </c>
      <c r="Q223" s="6">
        <v>50</v>
      </c>
      <c r="R223" s="6">
        <v>15</v>
      </c>
      <c r="S223" s="6">
        <v>31</v>
      </c>
      <c r="T223" s="6">
        <v>-11</v>
      </c>
      <c r="U223" s="3">
        <v>3</v>
      </c>
      <c r="V223" s="3">
        <v>89</v>
      </c>
      <c r="W223" s="3">
        <v>8</v>
      </c>
      <c r="X223" s="3">
        <v>-5</v>
      </c>
      <c r="Y223">
        <f t="shared" si="3"/>
        <v>1.3333333333333333</v>
      </c>
      <c r="Z223">
        <v>7</v>
      </c>
      <c r="AA223">
        <v>80</v>
      </c>
      <c r="AB223">
        <v>12</v>
      </c>
      <c r="AC223">
        <v>-5</v>
      </c>
      <c r="AD223">
        <v>36</v>
      </c>
      <c r="AE223">
        <v>63</v>
      </c>
      <c r="AF223">
        <v>1</v>
      </c>
      <c r="AG223">
        <v>35</v>
      </c>
    </row>
    <row r="224" spans="1:33">
      <c r="A224">
        <v>2022</v>
      </c>
      <c r="B224">
        <v>7</v>
      </c>
      <c r="C224" s="2" t="s">
        <v>27</v>
      </c>
      <c r="D224" s="3">
        <v>8</v>
      </c>
      <c r="E224" s="3">
        <v>82</v>
      </c>
      <c r="F224" s="3">
        <v>10</v>
      </c>
      <c r="G224" s="3">
        <v>-1</v>
      </c>
      <c r="H224" s="3">
        <v>15</v>
      </c>
      <c r="I224" s="3">
        <v>74</v>
      </c>
      <c r="J224" s="3">
        <v>12</v>
      </c>
      <c r="K224" s="3">
        <v>3</v>
      </c>
      <c r="L224">
        <v>48</v>
      </c>
      <c r="M224">
        <v>48</v>
      </c>
      <c r="N224">
        <v>4</v>
      </c>
      <c r="O224">
        <v>45</v>
      </c>
      <c r="P224" s="6">
        <v>7</v>
      </c>
      <c r="Q224" s="6">
        <v>53</v>
      </c>
      <c r="R224" s="6">
        <v>15</v>
      </c>
      <c r="S224" s="6">
        <v>25</v>
      </c>
      <c r="T224" s="6">
        <v>1</v>
      </c>
      <c r="U224" s="3">
        <v>3</v>
      </c>
      <c r="V224" s="3">
        <v>92</v>
      </c>
      <c r="W224" s="3">
        <v>5</v>
      </c>
      <c r="X224" s="3">
        <v>-2</v>
      </c>
      <c r="Y224">
        <f t="shared" si="3"/>
        <v>1.3333333333333333</v>
      </c>
      <c r="Z224">
        <v>7</v>
      </c>
      <c r="AA224">
        <v>83</v>
      </c>
      <c r="AB224">
        <v>10</v>
      </c>
      <c r="AC224">
        <v>-3</v>
      </c>
      <c r="AD224">
        <v>32</v>
      </c>
      <c r="AE224">
        <v>68</v>
      </c>
      <c r="AF224">
        <v>0</v>
      </c>
      <c r="AG224">
        <v>32</v>
      </c>
    </row>
    <row r="225" spans="1:33">
      <c r="A225">
        <v>2022</v>
      </c>
      <c r="B225">
        <v>8</v>
      </c>
      <c r="C225" s="2" t="s">
        <v>26</v>
      </c>
      <c r="D225" s="3">
        <v>8</v>
      </c>
      <c r="E225" s="3">
        <v>81</v>
      </c>
      <c r="F225" s="3">
        <v>11</v>
      </c>
      <c r="G225" s="3">
        <v>-3</v>
      </c>
      <c r="H225" s="3">
        <v>16</v>
      </c>
      <c r="I225" s="3">
        <v>71</v>
      </c>
      <c r="J225" s="3">
        <v>12</v>
      </c>
      <c r="K225" s="3">
        <v>4</v>
      </c>
      <c r="L225">
        <v>50</v>
      </c>
      <c r="M225">
        <v>46</v>
      </c>
      <c r="N225">
        <v>4</v>
      </c>
      <c r="O225">
        <v>46</v>
      </c>
      <c r="P225" s="6">
        <v>7</v>
      </c>
      <c r="Q225" s="6">
        <v>52</v>
      </c>
      <c r="R225" s="6">
        <v>15</v>
      </c>
      <c r="S225" s="6">
        <v>26</v>
      </c>
      <c r="T225" s="6">
        <v>0</v>
      </c>
      <c r="U225" s="3">
        <v>4</v>
      </c>
      <c r="V225" s="3">
        <v>92</v>
      </c>
      <c r="W225" s="3">
        <v>4</v>
      </c>
      <c r="X225" s="3">
        <v>1</v>
      </c>
      <c r="Y225">
        <f t="shared" si="3"/>
        <v>0</v>
      </c>
      <c r="Z225">
        <v>9</v>
      </c>
      <c r="AA225">
        <v>81</v>
      </c>
      <c r="AB225">
        <v>10</v>
      </c>
      <c r="AC225">
        <v>-1</v>
      </c>
      <c r="AD225">
        <v>32</v>
      </c>
      <c r="AE225">
        <v>67</v>
      </c>
      <c r="AF225">
        <v>2</v>
      </c>
      <c r="AG225">
        <v>30</v>
      </c>
    </row>
    <row r="226" spans="1:33">
      <c r="A226">
        <v>2022</v>
      </c>
      <c r="B226">
        <v>9</v>
      </c>
      <c r="C226" s="2" t="s">
        <v>25</v>
      </c>
      <c r="D226" s="3">
        <v>7</v>
      </c>
      <c r="E226" s="3">
        <v>77</v>
      </c>
      <c r="F226" s="3">
        <v>17</v>
      </c>
      <c r="G226" s="3">
        <v>-10</v>
      </c>
      <c r="H226" s="3">
        <v>13</v>
      </c>
      <c r="I226" s="3">
        <v>74</v>
      </c>
      <c r="J226" s="3">
        <v>12</v>
      </c>
      <c r="K226" s="3">
        <v>1</v>
      </c>
      <c r="L226">
        <v>50</v>
      </c>
      <c r="M226">
        <v>44</v>
      </c>
      <c r="N226">
        <v>5</v>
      </c>
      <c r="O226">
        <v>45</v>
      </c>
      <c r="P226" s="6">
        <v>3</v>
      </c>
      <c r="Q226" s="6">
        <v>57</v>
      </c>
      <c r="R226" s="6">
        <v>16</v>
      </c>
      <c r="S226" s="6">
        <v>24</v>
      </c>
      <c r="T226" s="6">
        <v>-1</v>
      </c>
      <c r="U226" s="3">
        <v>4</v>
      </c>
      <c r="V226" s="3">
        <v>92</v>
      </c>
      <c r="W226" s="3">
        <v>5</v>
      </c>
      <c r="X226" s="3">
        <v>-1</v>
      </c>
      <c r="Y226">
        <f t="shared" si="3"/>
        <v>-2.6666666666666665</v>
      </c>
      <c r="Z226">
        <v>10</v>
      </c>
      <c r="AA226">
        <v>79</v>
      </c>
      <c r="AB226">
        <v>12</v>
      </c>
      <c r="AC226">
        <v>-2</v>
      </c>
      <c r="AD226">
        <v>32</v>
      </c>
      <c r="AE226">
        <v>65</v>
      </c>
      <c r="AF226">
        <v>4</v>
      </c>
      <c r="AG226">
        <v>28</v>
      </c>
    </row>
    <row r="227" spans="1:33">
      <c r="A227">
        <v>2022</v>
      </c>
      <c r="B227">
        <v>10</v>
      </c>
      <c r="C227" s="2" t="s">
        <v>24</v>
      </c>
      <c r="D227" s="3">
        <v>8</v>
      </c>
      <c r="E227" s="3">
        <v>75</v>
      </c>
      <c r="F227" s="3">
        <v>18</v>
      </c>
      <c r="G227" s="3">
        <v>-10</v>
      </c>
      <c r="H227" s="3">
        <v>11</v>
      </c>
      <c r="I227" s="3">
        <v>71</v>
      </c>
      <c r="J227" s="3">
        <v>18</v>
      </c>
      <c r="K227" s="3">
        <v>-7</v>
      </c>
      <c r="L227">
        <v>43</v>
      </c>
      <c r="M227">
        <v>52</v>
      </c>
      <c r="N227">
        <v>5</v>
      </c>
      <c r="O227">
        <v>38</v>
      </c>
      <c r="P227" s="6">
        <v>2</v>
      </c>
      <c r="Q227" s="6">
        <v>52</v>
      </c>
      <c r="R227" s="6">
        <v>20</v>
      </c>
      <c r="S227" s="6">
        <v>27</v>
      </c>
      <c r="T227" s="6">
        <v>-8</v>
      </c>
      <c r="U227" s="3">
        <v>4</v>
      </c>
      <c r="V227" s="3">
        <v>92</v>
      </c>
      <c r="W227" s="3">
        <v>4</v>
      </c>
      <c r="X227" s="3">
        <v>-1</v>
      </c>
      <c r="Y227">
        <f t="shared" si="3"/>
        <v>-5.333333333333333</v>
      </c>
      <c r="Z227">
        <v>12</v>
      </c>
      <c r="AA227">
        <v>73</v>
      </c>
      <c r="AB227">
        <v>16</v>
      </c>
      <c r="AC227">
        <v>-4</v>
      </c>
      <c r="AD227">
        <v>35</v>
      </c>
      <c r="AE227">
        <v>64</v>
      </c>
      <c r="AF227">
        <v>1</v>
      </c>
      <c r="AG227">
        <v>33</v>
      </c>
    </row>
    <row r="228" spans="1:33">
      <c r="A228">
        <v>2022</v>
      </c>
      <c r="B228">
        <v>11</v>
      </c>
      <c r="C228" s="2" t="s">
        <v>23</v>
      </c>
      <c r="D228" s="3">
        <v>8</v>
      </c>
      <c r="E228" s="3">
        <v>78</v>
      </c>
      <c r="F228" s="3">
        <v>14</v>
      </c>
      <c r="G228" s="3">
        <v>-6</v>
      </c>
      <c r="H228" s="3">
        <v>10</v>
      </c>
      <c r="I228" s="3">
        <v>72</v>
      </c>
      <c r="J228" s="3">
        <v>18</v>
      </c>
      <c r="K228" s="3">
        <v>-8</v>
      </c>
      <c r="L228">
        <v>45</v>
      </c>
      <c r="M228">
        <v>51</v>
      </c>
      <c r="N228">
        <v>4</v>
      </c>
      <c r="O228">
        <v>41</v>
      </c>
      <c r="P228" s="6">
        <v>2</v>
      </c>
      <c r="Q228" s="6">
        <v>53</v>
      </c>
      <c r="R228" s="6">
        <v>19</v>
      </c>
      <c r="S228" s="6">
        <v>26</v>
      </c>
      <c r="T228" s="6">
        <v>-7</v>
      </c>
      <c r="U228" s="3">
        <v>7</v>
      </c>
      <c r="V228" s="3">
        <v>90</v>
      </c>
      <c r="W228" s="3">
        <v>3</v>
      </c>
      <c r="X228" s="3">
        <v>3</v>
      </c>
      <c r="Y228">
        <f t="shared" si="3"/>
        <v>-5.666666666666667</v>
      </c>
      <c r="Z228">
        <v>14</v>
      </c>
      <c r="AA228">
        <v>69</v>
      </c>
      <c r="AB228">
        <v>16</v>
      </c>
      <c r="AC228">
        <v>-2</v>
      </c>
      <c r="AD228">
        <v>29</v>
      </c>
      <c r="AE228">
        <v>69</v>
      </c>
      <c r="AF228">
        <v>2</v>
      </c>
      <c r="AG228">
        <v>28</v>
      </c>
    </row>
    <row r="229" spans="1:33">
      <c r="A229">
        <v>2022</v>
      </c>
      <c r="B229">
        <v>12</v>
      </c>
      <c r="C229" s="2" t="s">
        <v>22</v>
      </c>
      <c r="D229" s="3">
        <v>7</v>
      </c>
      <c r="E229" s="3">
        <v>79</v>
      </c>
      <c r="F229" s="3">
        <v>15</v>
      </c>
      <c r="G229" s="3">
        <v>-8</v>
      </c>
      <c r="H229" s="3">
        <v>11</v>
      </c>
      <c r="I229" s="3">
        <v>78</v>
      </c>
      <c r="J229" s="3">
        <v>11</v>
      </c>
      <c r="K229" s="3">
        <v>1</v>
      </c>
      <c r="L229">
        <v>44</v>
      </c>
      <c r="M229">
        <v>52</v>
      </c>
      <c r="N229">
        <v>4</v>
      </c>
      <c r="O229">
        <v>40</v>
      </c>
      <c r="P229" s="6">
        <v>3</v>
      </c>
      <c r="Q229" s="6">
        <v>55</v>
      </c>
      <c r="R229" s="6">
        <v>14</v>
      </c>
      <c r="S229" s="6">
        <v>28</v>
      </c>
      <c r="T229" s="6">
        <v>-5</v>
      </c>
      <c r="U229" s="3">
        <v>3</v>
      </c>
      <c r="V229" s="3">
        <v>94</v>
      </c>
      <c r="W229" s="3">
        <v>3</v>
      </c>
      <c r="X229" s="3">
        <v>-1</v>
      </c>
      <c r="Y229">
        <f t="shared" si="3"/>
        <v>-2</v>
      </c>
      <c r="Z229">
        <v>3</v>
      </c>
      <c r="AA229">
        <v>80</v>
      </c>
      <c r="AB229">
        <v>17</v>
      </c>
      <c r="AC229">
        <v>-14</v>
      </c>
      <c r="AD229">
        <v>26</v>
      </c>
      <c r="AE229">
        <v>73</v>
      </c>
      <c r="AF229">
        <v>1</v>
      </c>
      <c r="AG229">
        <v>24</v>
      </c>
    </row>
    <row r="230" spans="1:33">
      <c r="A230">
        <v>2023</v>
      </c>
      <c r="B230">
        <v>1</v>
      </c>
      <c r="C230" s="2" t="s">
        <v>21</v>
      </c>
      <c r="D230" s="3">
        <v>4</v>
      </c>
      <c r="E230" s="3">
        <v>79</v>
      </c>
      <c r="F230" s="3">
        <v>17</v>
      </c>
      <c r="G230" s="3">
        <v>-13</v>
      </c>
      <c r="H230" s="3">
        <v>20</v>
      </c>
      <c r="I230" s="3">
        <v>67</v>
      </c>
      <c r="J230" s="3">
        <v>13</v>
      </c>
      <c r="K230" s="3">
        <v>7</v>
      </c>
      <c r="L230">
        <v>50</v>
      </c>
      <c r="M230">
        <v>46</v>
      </c>
      <c r="N230">
        <v>4</v>
      </c>
      <c r="O230">
        <v>46</v>
      </c>
      <c r="P230" s="6">
        <v>5</v>
      </c>
      <c r="Q230" s="6">
        <v>23</v>
      </c>
      <c r="R230" s="6">
        <v>57</v>
      </c>
      <c r="S230" s="6">
        <v>15</v>
      </c>
      <c r="T230" s="6">
        <v>-27</v>
      </c>
      <c r="U230" s="3">
        <v>6</v>
      </c>
      <c r="V230" s="3">
        <v>86</v>
      </c>
      <c r="W230" s="3">
        <v>8</v>
      </c>
      <c r="X230" s="3">
        <v>-2</v>
      </c>
      <c r="Y230">
        <f t="shared" si="3"/>
        <v>-1.3333333333333333</v>
      </c>
      <c r="Z230">
        <v>7</v>
      </c>
      <c r="AA230">
        <v>79</v>
      </c>
      <c r="AB230">
        <v>13</v>
      </c>
      <c r="AC230">
        <v>-6</v>
      </c>
      <c r="AD230">
        <v>22</v>
      </c>
      <c r="AE230">
        <v>77</v>
      </c>
      <c r="AF230">
        <v>1</v>
      </c>
      <c r="AG230">
        <v>21</v>
      </c>
    </row>
    <row r="231" spans="1:33">
      <c r="A231">
        <v>2023</v>
      </c>
      <c r="B231">
        <v>2</v>
      </c>
      <c r="C231" s="2" t="s">
        <v>20</v>
      </c>
      <c r="D231" s="3">
        <v>8</v>
      </c>
      <c r="E231" s="3">
        <v>83</v>
      </c>
      <c r="F231" s="3">
        <v>9</v>
      </c>
      <c r="G231" s="3">
        <v>-2</v>
      </c>
      <c r="H231" s="3">
        <v>20</v>
      </c>
      <c r="I231" s="3">
        <v>68</v>
      </c>
      <c r="J231" s="3">
        <v>13</v>
      </c>
      <c r="K231" s="3">
        <v>7</v>
      </c>
      <c r="L231">
        <v>52</v>
      </c>
      <c r="M231">
        <v>45</v>
      </c>
      <c r="N231">
        <v>3</v>
      </c>
      <c r="O231">
        <v>49</v>
      </c>
      <c r="P231" s="6">
        <v>5</v>
      </c>
      <c r="Q231" s="6">
        <v>25</v>
      </c>
      <c r="R231" s="6">
        <v>58</v>
      </c>
      <c r="S231" s="6">
        <v>13</v>
      </c>
      <c r="T231" s="6">
        <v>-24</v>
      </c>
      <c r="U231" s="3">
        <v>7</v>
      </c>
      <c r="V231" s="3">
        <v>83</v>
      </c>
      <c r="W231" s="3">
        <v>10</v>
      </c>
      <c r="X231" s="3">
        <v>-3</v>
      </c>
      <c r="Y231">
        <f t="shared" si="3"/>
        <v>2.6666666666666665</v>
      </c>
      <c r="Z231">
        <v>12</v>
      </c>
      <c r="AA231">
        <v>77</v>
      </c>
      <c r="AB231">
        <v>11</v>
      </c>
      <c r="AC231">
        <v>0</v>
      </c>
      <c r="AD231">
        <v>25</v>
      </c>
      <c r="AE231">
        <v>74</v>
      </c>
      <c r="AF231">
        <v>1</v>
      </c>
      <c r="AG231">
        <v>24</v>
      </c>
    </row>
    <row r="232" spans="1:33">
      <c r="A232">
        <v>2023</v>
      </c>
      <c r="B232">
        <v>3</v>
      </c>
      <c r="C232" s="2" t="s">
        <v>19</v>
      </c>
      <c r="D232" s="3">
        <v>13</v>
      </c>
      <c r="E232" s="3">
        <v>80</v>
      </c>
      <c r="F232" s="3">
        <v>7</v>
      </c>
      <c r="G232" s="3">
        <v>6</v>
      </c>
      <c r="H232" s="3">
        <v>13</v>
      </c>
      <c r="I232" s="3">
        <v>75</v>
      </c>
      <c r="J232" s="3">
        <v>13</v>
      </c>
      <c r="K232" s="3">
        <v>0</v>
      </c>
      <c r="L232">
        <v>47</v>
      </c>
      <c r="M232">
        <v>49</v>
      </c>
      <c r="N232">
        <v>4</v>
      </c>
      <c r="O232">
        <v>43</v>
      </c>
      <c r="P232" s="6">
        <v>5</v>
      </c>
      <c r="Q232" s="6">
        <v>25</v>
      </c>
      <c r="R232" s="6">
        <v>59</v>
      </c>
      <c r="S232" s="6">
        <v>11</v>
      </c>
      <c r="T232" s="6">
        <v>-23</v>
      </c>
      <c r="U232" s="3">
        <v>6</v>
      </c>
      <c r="V232" s="3">
        <v>84</v>
      </c>
      <c r="W232" s="3">
        <v>9</v>
      </c>
      <c r="X232" s="3">
        <v>-3</v>
      </c>
      <c r="Y232">
        <f t="shared" si="3"/>
        <v>3</v>
      </c>
      <c r="Z232">
        <v>13</v>
      </c>
      <c r="AA232">
        <v>79</v>
      </c>
      <c r="AB232">
        <v>8</v>
      </c>
      <c r="AC232">
        <v>5</v>
      </c>
      <c r="AD232">
        <v>23</v>
      </c>
      <c r="AE232">
        <v>76</v>
      </c>
      <c r="AF232">
        <v>1</v>
      </c>
      <c r="AG232">
        <v>23</v>
      </c>
    </row>
    <row r="233" spans="1:33">
      <c r="A233">
        <v>2023</v>
      </c>
      <c r="B233">
        <v>4</v>
      </c>
      <c r="C233" s="2" t="s">
        <v>18</v>
      </c>
      <c r="D233" s="3">
        <v>17</v>
      </c>
      <c r="E233" s="3">
        <v>79</v>
      </c>
      <c r="F233" s="3">
        <v>4</v>
      </c>
      <c r="G233" s="3">
        <v>12</v>
      </c>
      <c r="H233" s="3">
        <v>13</v>
      </c>
      <c r="I233" s="3">
        <v>72</v>
      </c>
      <c r="J233" s="3">
        <v>15</v>
      </c>
      <c r="K233" s="3">
        <v>-1</v>
      </c>
      <c r="L233">
        <v>49</v>
      </c>
      <c r="M233">
        <v>49</v>
      </c>
      <c r="N233">
        <v>2</v>
      </c>
      <c r="O233">
        <v>46</v>
      </c>
      <c r="P233" s="6">
        <v>6</v>
      </c>
      <c r="Q233" s="6">
        <v>25</v>
      </c>
      <c r="R233" s="6">
        <v>58</v>
      </c>
      <c r="S233" s="6">
        <v>11</v>
      </c>
      <c r="T233" s="6">
        <v>-22</v>
      </c>
      <c r="U233" s="3">
        <v>5</v>
      </c>
      <c r="V233" s="3">
        <v>85</v>
      </c>
      <c r="W233" s="3">
        <v>10</v>
      </c>
      <c r="X233" s="3">
        <v>-4</v>
      </c>
      <c r="Y233">
        <f t="shared" si="3"/>
        <v>5</v>
      </c>
      <c r="Z233">
        <v>14</v>
      </c>
      <c r="AA233">
        <v>77</v>
      </c>
      <c r="AB233">
        <v>9</v>
      </c>
      <c r="AC233">
        <v>5</v>
      </c>
      <c r="AD233">
        <v>22</v>
      </c>
      <c r="AE233">
        <v>77</v>
      </c>
      <c r="AF233">
        <v>1</v>
      </c>
      <c r="AG233">
        <v>21</v>
      </c>
    </row>
    <row r="234" spans="1:33">
      <c r="A234">
        <v>2023</v>
      </c>
      <c r="B234">
        <v>5</v>
      </c>
      <c r="C234" s="2" t="s">
        <v>17</v>
      </c>
      <c r="D234" s="3">
        <v>16</v>
      </c>
      <c r="E234" s="3">
        <v>78</v>
      </c>
      <c r="F234" s="3">
        <v>6</v>
      </c>
      <c r="G234" s="3">
        <v>11</v>
      </c>
      <c r="H234" s="3">
        <v>15</v>
      </c>
      <c r="I234" s="3">
        <v>75</v>
      </c>
      <c r="J234" s="3">
        <v>10</v>
      </c>
      <c r="K234" s="3">
        <v>4</v>
      </c>
      <c r="L234">
        <v>48</v>
      </c>
      <c r="M234">
        <v>50</v>
      </c>
      <c r="N234">
        <v>3</v>
      </c>
      <c r="O234">
        <v>45</v>
      </c>
      <c r="P234" s="6">
        <v>5</v>
      </c>
      <c r="Q234" s="6">
        <v>26</v>
      </c>
      <c r="R234" s="6">
        <v>56</v>
      </c>
      <c r="S234" s="6">
        <v>13</v>
      </c>
      <c r="T234" s="6">
        <v>-22</v>
      </c>
      <c r="U234" s="3">
        <v>4</v>
      </c>
      <c r="V234" s="3">
        <v>89</v>
      </c>
      <c r="W234" s="3">
        <v>7</v>
      </c>
      <c r="X234" s="3">
        <v>-3</v>
      </c>
      <c r="Y234">
        <f t="shared" si="3"/>
        <v>6</v>
      </c>
      <c r="Z234">
        <v>15</v>
      </c>
      <c r="AA234">
        <v>76</v>
      </c>
      <c r="AB234">
        <v>9</v>
      </c>
      <c r="AC234">
        <v>6</v>
      </c>
      <c r="AD234">
        <v>23</v>
      </c>
      <c r="AE234">
        <v>76</v>
      </c>
      <c r="AF234">
        <v>1</v>
      </c>
      <c r="AG234">
        <v>21</v>
      </c>
    </row>
    <row r="235" spans="1:33">
      <c r="A235">
        <v>2023</v>
      </c>
      <c r="B235">
        <v>6</v>
      </c>
      <c r="C235" s="2" t="s">
        <v>16</v>
      </c>
      <c r="D235" s="3">
        <v>16</v>
      </c>
      <c r="E235" s="3">
        <v>75</v>
      </c>
      <c r="F235" s="3">
        <v>9</v>
      </c>
      <c r="G235" s="3">
        <v>6</v>
      </c>
      <c r="H235" s="3">
        <v>18</v>
      </c>
      <c r="I235" s="3">
        <v>68</v>
      </c>
      <c r="J235" s="3">
        <v>14</v>
      </c>
      <c r="K235" s="3">
        <v>4</v>
      </c>
      <c r="L235">
        <v>49</v>
      </c>
      <c r="M235">
        <v>49</v>
      </c>
      <c r="N235">
        <v>3</v>
      </c>
      <c r="O235">
        <v>46</v>
      </c>
      <c r="P235" s="6">
        <v>5</v>
      </c>
      <c r="Q235" s="6">
        <v>26</v>
      </c>
      <c r="R235" s="6">
        <v>53</v>
      </c>
      <c r="S235" s="6">
        <v>16</v>
      </c>
      <c r="T235" s="6">
        <v>-24</v>
      </c>
      <c r="U235" s="3">
        <v>8</v>
      </c>
      <c r="V235" s="3">
        <v>86</v>
      </c>
      <c r="W235" s="3">
        <v>7</v>
      </c>
      <c r="X235" s="3">
        <v>1</v>
      </c>
      <c r="Y235">
        <f t="shared" si="3"/>
        <v>3</v>
      </c>
      <c r="Z235">
        <v>16</v>
      </c>
      <c r="AA235">
        <v>68</v>
      </c>
      <c r="AB235">
        <v>16</v>
      </c>
      <c r="AC235">
        <v>0</v>
      </c>
      <c r="AD235">
        <v>22</v>
      </c>
      <c r="AE235">
        <v>76</v>
      </c>
      <c r="AF235">
        <v>2</v>
      </c>
      <c r="AG235">
        <v>19</v>
      </c>
    </row>
    <row r="236" spans="1:33">
      <c r="A236">
        <v>2023</v>
      </c>
      <c r="B236">
        <v>7</v>
      </c>
      <c r="C236" s="2" t="s">
        <v>15</v>
      </c>
      <c r="D236" s="3">
        <v>14</v>
      </c>
      <c r="E236" s="3">
        <v>79</v>
      </c>
      <c r="F236" s="3">
        <v>7</v>
      </c>
      <c r="G236" s="3">
        <v>7</v>
      </c>
      <c r="H236" s="3">
        <v>18</v>
      </c>
      <c r="I236" s="3">
        <v>68</v>
      </c>
      <c r="J236" s="3">
        <v>14</v>
      </c>
      <c r="K236" s="3">
        <v>4</v>
      </c>
      <c r="L236">
        <v>46</v>
      </c>
      <c r="M236">
        <v>51</v>
      </c>
      <c r="N236">
        <v>3</v>
      </c>
      <c r="O236">
        <v>43</v>
      </c>
      <c r="P236" s="6">
        <v>5</v>
      </c>
      <c r="Q236" s="6">
        <v>28</v>
      </c>
      <c r="R236" s="6">
        <v>52</v>
      </c>
      <c r="S236" s="6">
        <v>15</v>
      </c>
      <c r="T236" s="6">
        <v>-22</v>
      </c>
      <c r="U236" s="3">
        <v>7</v>
      </c>
      <c r="V236" s="3">
        <v>86</v>
      </c>
      <c r="W236" s="3">
        <v>7</v>
      </c>
      <c r="X236" s="3">
        <v>0</v>
      </c>
      <c r="Y236">
        <f t="shared" si="3"/>
        <v>3.6666666666666665</v>
      </c>
      <c r="Z236">
        <v>15</v>
      </c>
      <c r="AA236">
        <v>71</v>
      </c>
      <c r="AB236">
        <v>14</v>
      </c>
      <c r="AC236">
        <v>1</v>
      </c>
      <c r="AD236">
        <v>25</v>
      </c>
      <c r="AE236">
        <v>73</v>
      </c>
      <c r="AF236">
        <v>1</v>
      </c>
      <c r="AG236">
        <v>24</v>
      </c>
    </row>
    <row r="237" spans="1:33">
      <c r="A237">
        <v>2023</v>
      </c>
      <c r="B237">
        <v>8</v>
      </c>
      <c r="C237" s="2" t="s">
        <v>14</v>
      </c>
      <c r="D237" s="3">
        <v>12</v>
      </c>
      <c r="E237" s="3">
        <v>79</v>
      </c>
      <c r="F237" s="3">
        <v>8</v>
      </c>
      <c r="G237" s="3">
        <v>4</v>
      </c>
      <c r="H237" s="3">
        <v>21</v>
      </c>
      <c r="I237" s="3">
        <v>69</v>
      </c>
      <c r="J237" s="3">
        <v>11</v>
      </c>
      <c r="K237" s="3">
        <v>10</v>
      </c>
      <c r="L237">
        <v>50</v>
      </c>
      <c r="M237">
        <v>47</v>
      </c>
      <c r="N237">
        <v>3</v>
      </c>
      <c r="O237">
        <v>47</v>
      </c>
      <c r="P237" s="6">
        <v>5</v>
      </c>
      <c r="Q237" s="6">
        <v>26</v>
      </c>
      <c r="R237" s="6">
        <v>53</v>
      </c>
      <c r="S237" s="6">
        <v>16</v>
      </c>
      <c r="T237" s="6">
        <v>-23</v>
      </c>
      <c r="U237" s="3">
        <v>7</v>
      </c>
      <c r="V237" s="3">
        <v>87</v>
      </c>
      <c r="W237" s="3">
        <v>6</v>
      </c>
      <c r="X237" s="3">
        <v>1</v>
      </c>
      <c r="Y237">
        <f t="shared" si="3"/>
        <v>4.333333333333333</v>
      </c>
      <c r="Z237">
        <v>13</v>
      </c>
      <c r="AA237">
        <v>73</v>
      </c>
      <c r="AB237">
        <v>14</v>
      </c>
      <c r="AC237">
        <v>-1</v>
      </c>
      <c r="AD237">
        <v>19</v>
      </c>
      <c r="AE237">
        <v>76</v>
      </c>
      <c r="AF237">
        <v>5</v>
      </c>
      <c r="AG237">
        <v>14</v>
      </c>
    </row>
    <row r="238" spans="1:33">
      <c r="A238">
        <v>2023</v>
      </c>
      <c r="B238">
        <v>9</v>
      </c>
      <c r="C238" s="2" t="s">
        <v>13</v>
      </c>
      <c r="D238" s="3">
        <v>11</v>
      </c>
      <c r="E238" s="3">
        <v>81</v>
      </c>
      <c r="F238" s="3">
        <v>8</v>
      </c>
      <c r="G238" s="3">
        <v>3</v>
      </c>
      <c r="H238" s="3">
        <v>20</v>
      </c>
      <c r="I238" s="3">
        <v>70</v>
      </c>
      <c r="J238" s="3">
        <v>11</v>
      </c>
      <c r="K238" s="3">
        <v>9</v>
      </c>
      <c r="L238">
        <v>49</v>
      </c>
      <c r="M238">
        <v>48</v>
      </c>
      <c r="N238">
        <v>3</v>
      </c>
      <c r="O238">
        <v>46</v>
      </c>
      <c r="P238" s="6">
        <v>6</v>
      </c>
      <c r="Q238" s="6">
        <v>26</v>
      </c>
      <c r="R238" s="6">
        <v>53</v>
      </c>
      <c r="S238" s="6">
        <v>16</v>
      </c>
      <c r="T238" s="6">
        <v>-24</v>
      </c>
      <c r="U238" s="3">
        <v>7</v>
      </c>
      <c r="V238" s="3">
        <v>88</v>
      </c>
      <c r="W238" s="3">
        <v>5</v>
      </c>
      <c r="X238" s="3">
        <v>2</v>
      </c>
      <c r="Y238">
        <f t="shared" si="3"/>
        <v>3.3333333333333335</v>
      </c>
      <c r="Z238">
        <v>12</v>
      </c>
      <c r="AA238">
        <v>74</v>
      </c>
      <c r="AB238">
        <v>13</v>
      </c>
      <c r="AC238">
        <v>-1</v>
      </c>
      <c r="AD238">
        <v>19</v>
      </c>
      <c r="AE238">
        <v>80</v>
      </c>
      <c r="AF238">
        <v>1</v>
      </c>
      <c r="AG238">
        <v>18</v>
      </c>
    </row>
    <row r="239" spans="1:33">
      <c r="A239">
        <v>2023</v>
      </c>
      <c r="B239">
        <v>10</v>
      </c>
      <c r="C239" s="2" t="s">
        <v>12</v>
      </c>
      <c r="D239" s="3">
        <v>10</v>
      </c>
      <c r="E239" s="3">
        <v>79</v>
      </c>
      <c r="F239" s="3">
        <v>10</v>
      </c>
      <c r="G239" s="3">
        <v>0</v>
      </c>
      <c r="H239" s="3">
        <v>15</v>
      </c>
      <c r="I239" s="3">
        <v>72</v>
      </c>
      <c r="J239" s="3">
        <v>13</v>
      </c>
      <c r="K239" s="3">
        <v>2</v>
      </c>
      <c r="L239">
        <v>46</v>
      </c>
      <c r="M239">
        <v>50</v>
      </c>
      <c r="N239">
        <v>3</v>
      </c>
      <c r="O239">
        <v>43</v>
      </c>
      <c r="P239" s="6">
        <v>5</v>
      </c>
      <c r="Q239" s="6">
        <v>26</v>
      </c>
      <c r="R239" s="6">
        <v>53</v>
      </c>
      <c r="S239" s="6">
        <v>16</v>
      </c>
      <c r="T239" s="6">
        <v>-25</v>
      </c>
      <c r="U239" s="3">
        <v>7</v>
      </c>
      <c r="V239" s="3">
        <v>87</v>
      </c>
      <c r="W239" s="3">
        <v>5</v>
      </c>
      <c r="X239" s="3">
        <v>2</v>
      </c>
      <c r="Y239">
        <f t="shared" si="3"/>
        <v>0</v>
      </c>
      <c r="Z239">
        <v>18</v>
      </c>
      <c r="AA239">
        <v>66</v>
      </c>
      <c r="AB239">
        <v>16</v>
      </c>
      <c r="AC239">
        <v>3</v>
      </c>
      <c r="AD239">
        <v>17</v>
      </c>
      <c r="AE239">
        <v>81</v>
      </c>
      <c r="AF239">
        <v>2</v>
      </c>
      <c r="AG239">
        <v>15</v>
      </c>
    </row>
    <row r="240" spans="1:33">
      <c r="A240">
        <v>2023</v>
      </c>
      <c r="B240">
        <v>11</v>
      </c>
      <c r="C240" s="2" t="s">
        <v>11</v>
      </c>
      <c r="D240" s="3">
        <v>13</v>
      </c>
      <c r="E240" s="3">
        <v>76</v>
      </c>
      <c r="F240" s="3">
        <v>12</v>
      </c>
      <c r="G240" s="3">
        <v>1</v>
      </c>
      <c r="H240" s="3">
        <v>17</v>
      </c>
      <c r="I240" s="3">
        <v>67</v>
      </c>
      <c r="J240" s="3">
        <v>16</v>
      </c>
      <c r="K240" s="3">
        <v>0</v>
      </c>
      <c r="L240">
        <v>47</v>
      </c>
      <c r="M240">
        <v>50</v>
      </c>
      <c r="N240">
        <v>3</v>
      </c>
      <c r="O240">
        <v>43</v>
      </c>
      <c r="P240" s="6">
        <v>5</v>
      </c>
      <c r="Q240" s="6">
        <v>28</v>
      </c>
      <c r="R240" s="6">
        <v>51</v>
      </c>
      <c r="S240" s="6">
        <v>17</v>
      </c>
      <c r="T240" s="6">
        <v>-23</v>
      </c>
      <c r="U240" s="3">
        <v>9</v>
      </c>
      <c r="V240" s="3">
        <v>85</v>
      </c>
      <c r="W240" s="3">
        <v>6</v>
      </c>
      <c r="X240" s="3">
        <v>3</v>
      </c>
      <c r="Y240">
        <f t="shared" si="3"/>
        <v>-0.66666666666666663</v>
      </c>
      <c r="Z240">
        <v>16</v>
      </c>
      <c r="AA240">
        <v>67</v>
      </c>
      <c r="AB240">
        <v>17</v>
      </c>
      <c r="AC240">
        <v>-1</v>
      </c>
      <c r="AD240">
        <v>15</v>
      </c>
      <c r="AE240">
        <v>83</v>
      </c>
      <c r="AF240">
        <v>2</v>
      </c>
      <c r="AG240">
        <v>13</v>
      </c>
    </row>
    <row r="241" spans="1:33">
      <c r="A241">
        <v>2023</v>
      </c>
      <c r="B241">
        <v>12</v>
      </c>
      <c r="C241" s="2" t="s">
        <v>10</v>
      </c>
      <c r="D241" s="3">
        <v>10</v>
      </c>
      <c r="E241" s="3">
        <v>79</v>
      </c>
      <c r="F241" s="3">
        <v>11</v>
      </c>
      <c r="G241" s="3">
        <v>-2</v>
      </c>
      <c r="H241" s="3">
        <v>17</v>
      </c>
      <c r="I241" s="3">
        <v>63</v>
      </c>
      <c r="J241" s="3">
        <v>20</v>
      </c>
      <c r="K241" s="3">
        <v>-2</v>
      </c>
      <c r="L241">
        <v>45</v>
      </c>
      <c r="M241">
        <v>49</v>
      </c>
      <c r="N241">
        <v>6</v>
      </c>
      <c r="O241">
        <v>39</v>
      </c>
      <c r="P241" s="6">
        <v>5</v>
      </c>
      <c r="Q241" s="6">
        <v>25</v>
      </c>
      <c r="R241" s="6">
        <v>57</v>
      </c>
      <c r="S241" s="6">
        <v>13</v>
      </c>
      <c r="T241" s="6">
        <v>-24</v>
      </c>
      <c r="U241" s="3">
        <v>10</v>
      </c>
      <c r="V241" s="3">
        <v>85</v>
      </c>
      <c r="W241" s="3">
        <v>6</v>
      </c>
      <c r="X241" s="3">
        <v>4</v>
      </c>
      <c r="Y241">
        <f t="shared" si="3"/>
        <v>-2.6666666666666665</v>
      </c>
      <c r="Z241">
        <v>17</v>
      </c>
      <c r="AA241">
        <v>66</v>
      </c>
      <c r="AB241">
        <v>18</v>
      </c>
      <c r="AC241">
        <v>-1</v>
      </c>
      <c r="AD241">
        <v>18</v>
      </c>
      <c r="AE241">
        <v>79</v>
      </c>
      <c r="AF241">
        <v>2</v>
      </c>
      <c r="AG241">
        <v>16</v>
      </c>
    </row>
    <row r="242" spans="1:33">
      <c r="A242">
        <f>LEFT(C242,4)*1</f>
        <v>2024</v>
      </c>
      <c r="B242">
        <f>RIGHT(C242,2)*1</f>
        <v>1</v>
      </c>
      <c r="C242" s="2" t="s">
        <v>9</v>
      </c>
      <c r="D242" s="3">
        <v>12</v>
      </c>
      <c r="E242" s="3">
        <v>73</v>
      </c>
      <c r="F242" s="3">
        <v>15</v>
      </c>
      <c r="G242" s="3">
        <v>-4</v>
      </c>
      <c r="H242" s="3">
        <v>18</v>
      </c>
      <c r="I242" s="3">
        <v>66</v>
      </c>
      <c r="J242" s="3">
        <v>17</v>
      </c>
      <c r="K242" s="3">
        <v>1</v>
      </c>
      <c r="L242">
        <v>49</v>
      </c>
      <c r="M242">
        <v>49</v>
      </c>
      <c r="N242">
        <v>2</v>
      </c>
      <c r="O242">
        <v>48</v>
      </c>
      <c r="P242" s="6">
        <v>4</v>
      </c>
      <c r="Q242" s="6">
        <v>33</v>
      </c>
      <c r="R242" s="6">
        <v>55</v>
      </c>
      <c r="S242" s="6">
        <v>8</v>
      </c>
      <c r="T242" s="6">
        <v>-14</v>
      </c>
      <c r="U242" s="3">
        <v>10</v>
      </c>
      <c r="V242" s="3">
        <v>84</v>
      </c>
      <c r="W242" s="3">
        <v>6</v>
      </c>
      <c r="X242" s="3">
        <v>4</v>
      </c>
      <c r="Y242">
        <f t="shared" si="3"/>
        <v>-2.3333333333333335</v>
      </c>
      <c r="Z242">
        <v>6</v>
      </c>
      <c r="AA242">
        <v>78</v>
      </c>
      <c r="AB242">
        <v>16</v>
      </c>
      <c r="AC242">
        <v>-9</v>
      </c>
      <c r="AD242">
        <v>24</v>
      </c>
      <c r="AE242">
        <v>72</v>
      </c>
      <c r="AF242">
        <v>4</v>
      </c>
      <c r="AG242">
        <v>21</v>
      </c>
    </row>
    <row r="243" spans="1:33">
      <c r="A243">
        <f t="shared" ref="A243:A264" si="4">LEFT(C243,4)*1</f>
        <v>2024</v>
      </c>
      <c r="B243">
        <f t="shared" ref="B243:B264" si="5">RIGHT(C243,2)*1</f>
        <v>2</v>
      </c>
      <c r="C243" s="2" t="s">
        <v>8</v>
      </c>
      <c r="D243" s="3">
        <v>14</v>
      </c>
      <c r="E243" s="3">
        <v>76</v>
      </c>
      <c r="F243" s="3">
        <v>10</v>
      </c>
      <c r="G243" s="3">
        <v>3</v>
      </c>
      <c r="H243" s="3">
        <v>15</v>
      </c>
      <c r="I243" s="3">
        <v>71</v>
      </c>
      <c r="J243" s="3">
        <v>14</v>
      </c>
      <c r="K243" s="3">
        <v>0</v>
      </c>
      <c r="L243">
        <v>52</v>
      </c>
      <c r="M243">
        <v>47</v>
      </c>
      <c r="N243">
        <v>2</v>
      </c>
      <c r="O243">
        <v>50</v>
      </c>
      <c r="P243" s="6">
        <v>6</v>
      </c>
      <c r="Q243" s="6">
        <v>31</v>
      </c>
      <c r="R243" s="6">
        <v>56</v>
      </c>
      <c r="S243" s="6">
        <v>7</v>
      </c>
      <c r="T243" s="6">
        <v>-14</v>
      </c>
      <c r="U243" s="3">
        <v>9</v>
      </c>
      <c r="V243" s="3">
        <v>86</v>
      </c>
      <c r="W243" s="3">
        <v>5</v>
      </c>
      <c r="X243" s="3">
        <v>4</v>
      </c>
      <c r="Y243">
        <f t="shared" si="3"/>
        <v>-0.33333333333333331</v>
      </c>
      <c r="Z243">
        <v>8</v>
      </c>
      <c r="AA243">
        <v>73</v>
      </c>
      <c r="AB243">
        <v>18</v>
      </c>
      <c r="AC243">
        <v>-10</v>
      </c>
      <c r="AD243">
        <v>16</v>
      </c>
      <c r="AE243">
        <v>81</v>
      </c>
      <c r="AF243">
        <v>3</v>
      </c>
      <c r="AG243">
        <v>12</v>
      </c>
    </row>
    <row r="244" spans="1:33">
      <c r="A244">
        <f t="shared" si="4"/>
        <v>2024</v>
      </c>
      <c r="B244">
        <f t="shared" si="5"/>
        <v>3</v>
      </c>
      <c r="C244" s="2" t="s">
        <v>7</v>
      </c>
      <c r="D244" s="3">
        <v>16</v>
      </c>
      <c r="E244" s="3">
        <v>76</v>
      </c>
      <c r="F244" s="3">
        <v>9</v>
      </c>
      <c r="G244" s="3">
        <v>7</v>
      </c>
      <c r="H244" s="3">
        <v>15</v>
      </c>
      <c r="I244" s="3">
        <v>67</v>
      </c>
      <c r="J244" s="3">
        <v>18</v>
      </c>
      <c r="K244" s="3">
        <v>-3</v>
      </c>
      <c r="L244">
        <v>51</v>
      </c>
      <c r="M244">
        <v>47</v>
      </c>
      <c r="N244">
        <v>2</v>
      </c>
      <c r="O244">
        <v>49</v>
      </c>
      <c r="P244" s="6">
        <v>5</v>
      </c>
      <c r="Q244" s="6">
        <v>33</v>
      </c>
      <c r="R244" s="6">
        <v>55</v>
      </c>
      <c r="S244" s="6">
        <v>8</v>
      </c>
      <c r="T244" s="6">
        <v>-13</v>
      </c>
      <c r="U244" s="3">
        <v>8</v>
      </c>
      <c r="V244" s="3">
        <v>86</v>
      </c>
      <c r="W244" s="3">
        <v>5</v>
      </c>
      <c r="X244" s="3">
        <v>3</v>
      </c>
      <c r="Y244">
        <f t="shared" si="3"/>
        <v>0.33333333333333331</v>
      </c>
      <c r="Z244">
        <v>11</v>
      </c>
      <c r="AA244">
        <v>74</v>
      </c>
      <c r="AB244">
        <v>15</v>
      </c>
      <c r="AC244">
        <v>-4</v>
      </c>
      <c r="AD244">
        <v>14</v>
      </c>
      <c r="AE244">
        <v>85</v>
      </c>
      <c r="AF244">
        <v>2</v>
      </c>
      <c r="AG244">
        <v>12</v>
      </c>
    </row>
    <row r="245" spans="1:33">
      <c r="A245">
        <f t="shared" si="4"/>
        <v>2024</v>
      </c>
      <c r="B245">
        <f t="shared" si="5"/>
        <v>4</v>
      </c>
      <c r="C245" s="2" t="s">
        <v>6</v>
      </c>
      <c r="D245" s="3">
        <v>20</v>
      </c>
      <c r="E245" s="3">
        <v>73</v>
      </c>
      <c r="F245" s="3">
        <v>7</v>
      </c>
      <c r="G245" s="3">
        <v>12</v>
      </c>
      <c r="H245" s="3">
        <v>23</v>
      </c>
      <c r="I245" s="3">
        <v>66</v>
      </c>
      <c r="J245" s="3">
        <v>11</v>
      </c>
      <c r="K245" s="3">
        <v>11</v>
      </c>
      <c r="L245">
        <v>53</v>
      </c>
      <c r="M245">
        <v>46</v>
      </c>
      <c r="N245">
        <v>2</v>
      </c>
      <c r="O245">
        <v>51</v>
      </c>
      <c r="P245" s="6">
        <v>5</v>
      </c>
      <c r="Q245" s="6">
        <v>33</v>
      </c>
      <c r="R245" s="6">
        <v>55</v>
      </c>
      <c r="S245" s="6">
        <v>7</v>
      </c>
      <c r="T245" s="6">
        <v>-14</v>
      </c>
      <c r="U245" s="3">
        <v>5</v>
      </c>
      <c r="V245" s="3">
        <v>89</v>
      </c>
      <c r="W245" s="3">
        <v>5</v>
      </c>
      <c r="X245" s="3">
        <v>0</v>
      </c>
      <c r="Y245">
        <f t="shared" si="3"/>
        <v>7.666666666666667</v>
      </c>
      <c r="Z245">
        <v>14</v>
      </c>
      <c r="AA245">
        <v>76</v>
      </c>
      <c r="AB245">
        <v>10</v>
      </c>
      <c r="AC245">
        <v>4</v>
      </c>
      <c r="AD245">
        <v>14</v>
      </c>
      <c r="AE245">
        <v>84</v>
      </c>
      <c r="AF245">
        <v>1</v>
      </c>
      <c r="AG245">
        <v>13</v>
      </c>
    </row>
    <row r="246" spans="1:33">
      <c r="A246">
        <f t="shared" si="4"/>
        <v>2024</v>
      </c>
      <c r="B246">
        <f t="shared" si="5"/>
        <v>5</v>
      </c>
      <c r="C246" s="2" t="s">
        <v>5</v>
      </c>
      <c r="D246" s="3">
        <v>18</v>
      </c>
      <c r="E246" s="3">
        <v>75</v>
      </c>
      <c r="F246" s="3">
        <v>7</v>
      </c>
      <c r="G246" s="3">
        <v>12</v>
      </c>
      <c r="H246" s="3">
        <v>29</v>
      </c>
      <c r="I246" s="3">
        <v>63</v>
      </c>
      <c r="J246" s="3">
        <v>9</v>
      </c>
      <c r="K246" s="3">
        <v>20</v>
      </c>
      <c r="L246">
        <v>51</v>
      </c>
      <c r="M246">
        <v>48</v>
      </c>
      <c r="N246">
        <v>2</v>
      </c>
      <c r="O246">
        <v>49</v>
      </c>
      <c r="P246" s="6">
        <v>5</v>
      </c>
      <c r="Q246" s="6">
        <v>32</v>
      </c>
      <c r="R246" s="6">
        <v>56</v>
      </c>
      <c r="S246" s="6">
        <v>7</v>
      </c>
      <c r="T246" s="6">
        <v>-14</v>
      </c>
      <c r="U246" s="3">
        <v>5</v>
      </c>
      <c r="V246" s="3">
        <v>90</v>
      </c>
      <c r="W246" s="3">
        <v>5</v>
      </c>
      <c r="X246" s="3">
        <v>-1</v>
      </c>
      <c r="Y246">
        <f t="shared" si="3"/>
        <v>11</v>
      </c>
      <c r="Z246">
        <v>14</v>
      </c>
      <c r="AA246">
        <v>77</v>
      </c>
      <c r="AB246">
        <v>9</v>
      </c>
      <c r="AC246">
        <v>5</v>
      </c>
      <c r="AD246">
        <v>13</v>
      </c>
      <c r="AE246">
        <v>85</v>
      </c>
      <c r="AF246">
        <v>2</v>
      </c>
      <c r="AG246">
        <v>11</v>
      </c>
    </row>
    <row r="247" spans="1:33">
      <c r="A247">
        <f t="shared" si="4"/>
        <v>2024</v>
      </c>
      <c r="B247">
        <f t="shared" si="5"/>
        <v>6</v>
      </c>
      <c r="C247" s="2" t="s">
        <v>4</v>
      </c>
      <c r="D247" s="3">
        <v>16</v>
      </c>
      <c r="E247" s="3">
        <v>76</v>
      </c>
      <c r="F247" s="3">
        <v>7</v>
      </c>
      <c r="G247" s="3">
        <v>9</v>
      </c>
      <c r="H247" s="3">
        <v>23</v>
      </c>
      <c r="I247" s="3">
        <v>72</v>
      </c>
      <c r="J247" s="3">
        <v>5</v>
      </c>
      <c r="K247" s="3">
        <v>18</v>
      </c>
      <c r="L247">
        <v>54</v>
      </c>
      <c r="M247">
        <v>45</v>
      </c>
      <c r="N247">
        <v>1</v>
      </c>
      <c r="O247">
        <v>53</v>
      </c>
      <c r="P247" s="6">
        <v>5</v>
      </c>
      <c r="Q247" s="6">
        <v>37</v>
      </c>
      <c r="R247" s="6">
        <v>50</v>
      </c>
      <c r="S247" s="6">
        <v>7</v>
      </c>
      <c r="T247" s="6">
        <v>-8</v>
      </c>
      <c r="U247" s="3">
        <v>5</v>
      </c>
      <c r="V247" s="3">
        <v>91</v>
      </c>
      <c r="W247" s="3">
        <v>4</v>
      </c>
      <c r="X247" s="3">
        <v>0</v>
      </c>
      <c r="Y247">
        <f t="shared" si="3"/>
        <v>9</v>
      </c>
      <c r="Z247">
        <v>13</v>
      </c>
      <c r="AA247">
        <v>78</v>
      </c>
      <c r="AB247">
        <v>8</v>
      </c>
      <c r="AC247">
        <v>5</v>
      </c>
      <c r="AD247">
        <v>11</v>
      </c>
      <c r="AE247">
        <v>87</v>
      </c>
      <c r="AF247">
        <v>2</v>
      </c>
      <c r="AG247">
        <v>9</v>
      </c>
    </row>
    <row r="248" spans="1:33">
      <c r="A248">
        <f t="shared" si="4"/>
        <v>2024</v>
      </c>
      <c r="B248">
        <f t="shared" si="5"/>
        <v>7</v>
      </c>
      <c r="C248" s="2" t="s">
        <v>3</v>
      </c>
      <c r="D248" s="3">
        <v>13</v>
      </c>
      <c r="E248" s="3">
        <v>80</v>
      </c>
      <c r="F248" s="3">
        <v>7</v>
      </c>
      <c r="G248" s="3">
        <v>6</v>
      </c>
      <c r="H248" s="3">
        <v>17</v>
      </c>
      <c r="I248" s="3">
        <v>74</v>
      </c>
      <c r="J248" s="3">
        <v>10</v>
      </c>
      <c r="K248" s="3">
        <v>7</v>
      </c>
      <c r="L248">
        <v>52</v>
      </c>
      <c r="M248">
        <v>46</v>
      </c>
      <c r="N248">
        <v>1</v>
      </c>
      <c r="O248">
        <v>51</v>
      </c>
      <c r="P248" s="6">
        <v>6</v>
      </c>
      <c r="Q248" s="6">
        <v>32</v>
      </c>
      <c r="R248" s="6">
        <v>54</v>
      </c>
      <c r="S248" s="6">
        <v>7</v>
      </c>
      <c r="T248" s="6">
        <v>-12</v>
      </c>
      <c r="U248" s="3">
        <v>6</v>
      </c>
      <c r="V248" s="3">
        <v>90</v>
      </c>
      <c r="W248" s="3">
        <v>5</v>
      </c>
      <c r="X248" s="3">
        <v>1</v>
      </c>
      <c r="Y248">
        <f t="shared" si="3"/>
        <v>4</v>
      </c>
      <c r="Z248">
        <v>10</v>
      </c>
      <c r="AA248">
        <v>82</v>
      </c>
      <c r="AB248">
        <v>8</v>
      </c>
      <c r="AC248">
        <v>2</v>
      </c>
      <c r="AD248">
        <v>15</v>
      </c>
      <c r="AE248">
        <v>84</v>
      </c>
      <c r="AF248">
        <v>2</v>
      </c>
      <c r="AG248">
        <v>13</v>
      </c>
    </row>
    <row r="249" spans="1:33">
      <c r="A249">
        <f t="shared" si="4"/>
        <v>2024</v>
      </c>
      <c r="B249">
        <f t="shared" si="5"/>
        <v>8</v>
      </c>
      <c r="C249" s="2" t="s">
        <v>2</v>
      </c>
      <c r="D249" s="3">
        <v>12</v>
      </c>
      <c r="E249" s="3">
        <v>79</v>
      </c>
      <c r="F249" s="3">
        <v>9</v>
      </c>
      <c r="G249" s="3">
        <v>4</v>
      </c>
      <c r="H249" s="3">
        <v>19</v>
      </c>
      <c r="I249" s="3">
        <v>75</v>
      </c>
      <c r="J249" s="3">
        <v>6</v>
      </c>
      <c r="K249" s="3">
        <v>13</v>
      </c>
      <c r="L249">
        <v>54</v>
      </c>
      <c r="M249">
        <v>45</v>
      </c>
      <c r="N249">
        <v>1</v>
      </c>
      <c r="O249">
        <v>52</v>
      </c>
      <c r="P249" s="6">
        <v>11</v>
      </c>
      <c r="Q249" s="6">
        <v>31</v>
      </c>
      <c r="R249" s="6">
        <v>51</v>
      </c>
      <c r="S249" s="6">
        <v>7</v>
      </c>
      <c r="T249" s="6">
        <v>-7</v>
      </c>
      <c r="U249" s="3">
        <v>6</v>
      </c>
      <c r="V249" s="3">
        <v>90</v>
      </c>
      <c r="W249" s="3">
        <v>5</v>
      </c>
      <c r="X249" s="3">
        <v>1</v>
      </c>
      <c r="Y249">
        <f t="shared" si="3"/>
        <v>5.333333333333333</v>
      </c>
      <c r="Z249">
        <v>11</v>
      </c>
      <c r="AA249">
        <v>81</v>
      </c>
      <c r="AB249">
        <v>9</v>
      </c>
      <c r="AC249">
        <v>2</v>
      </c>
      <c r="AD249">
        <v>12</v>
      </c>
      <c r="AE249">
        <v>87</v>
      </c>
      <c r="AF249">
        <v>1</v>
      </c>
      <c r="AG249">
        <v>11</v>
      </c>
    </row>
    <row r="250" spans="1:33">
      <c r="A250">
        <f t="shared" si="4"/>
        <v>2024</v>
      </c>
      <c r="B250">
        <f t="shared" si="5"/>
        <v>9</v>
      </c>
      <c r="C250" s="2" t="s">
        <v>1</v>
      </c>
      <c r="D250" s="3">
        <v>12</v>
      </c>
      <c r="E250" s="3">
        <v>77</v>
      </c>
      <c r="F250" s="3">
        <v>11</v>
      </c>
      <c r="G250" s="3">
        <v>1</v>
      </c>
      <c r="H250" s="3">
        <v>17</v>
      </c>
      <c r="I250" s="3">
        <v>77</v>
      </c>
      <c r="J250" s="3">
        <v>6</v>
      </c>
      <c r="K250" s="3">
        <v>11</v>
      </c>
      <c r="L250">
        <v>57</v>
      </c>
      <c r="M250">
        <v>42</v>
      </c>
      <c r="N250">
        <v>2</v>
      </c>
      <c r="O250">
        <v>55</v>
      </c>
      <c r="P250" s="6">
        <v>9</v>
      </c>
      <c r="Q250" s="6">
        <v>33</v>
      </c>
      <c r="R250" s="6">
        <v>51</v>
      </c>
      <c r="S250" s="6">
        <v>7</v>
      </c>
      <c r="T250" s="6">
        <v>-7</v>
      </c>
      <c r="U250" s="3">
        <v>4</v>
      </c>
      <c r="V250" s="3">
        <v>92</v>
      </c>
      <c r="W250" s="3">
        <v>5</v>
      </c>
      <c r="X250" s="3">
        <v>-1</v>
      </c>
      <c r="Y250">
        <f t="shared" si="3"/>
        <v>4.333333333333333</v>
      </c>
      <c r="Z250">
        <v>15</v>
      </c>
      <c r="AA250">
        <v>75</v>
      </c>
      <c r="AB250">
        <v>9</v>
      </c>
      <c r="AC250">
        <v>6</v>
      </c>
      <c r="AD250">
        <v>17</v>
      </c>
      <c r="AE250">
        <v>82</v>
      </c>
      <c r="AF250">
        <v>1</v>
      </c>
      <c r="AG250">
        <v>15</v>
      </c>
    </row>
    <row r="251" spans="1:33">
      <c r="A251">
        <f t="shared" si="4"/>
        <v>2024</v>
      </c>
      <c r="B251">
        <f t="shared" si="5"/>
        <v>10</v>
      </c>
      <c r="C251" s="2" t="s">
        <v>0</v>
      </c>
      <c r="D251" s="3">
        <v>12</v>
      </c>
      <c r="E251" s="3">
        <v>76</v>
      </c>
      <c r="F251" s="3">
        <v>11</v>
      </c>
      <c r="G251" s="3">
        <v>1</v>
      </c>
      <c r="H251" s="3">
        <v>13</v>
      </c>
      <c r="I251" s="3">
        <v>75</v>
      </c>
      <c r="J251" s="3">
        <v>13</v>
      </c>
      <c r="K251" s="3">
        <v>0</v>
      </c>
      <c r="L251">
        <v>53</v>
      </c>
      <c r="M251">
        <v>46</v>
      </c>
      <c r="N251">
        <v>2</v>
      </c>
      <c r="O251">
        <v>51</v>
      </c>
      <c r="P251" s="6">
        <v>10</v>
      </c>
      <c r="Q251" s="6">
        <v>33</v>
      </c>
      <c r="R251" s="6">
        <v>51</v>
      </c>
      <c r="S251" s="6">
        <v>7</v>
      </c>
      <c r="T251" s="6">
        <v>-7</v>
      </c>
      <c r="U251" s="3">
        <v>4</v>
      </c>
      <c r="V251" s="3">
        <v>91</v>
      </c>
      <c r="W251" s="3">
        <v>5</v>
      </c>
      <c r="X251" s="3">
        <v>-1</v>
      </c>
      <c r="Y251">
        <f t="shared" si="3"/>
        <v>0.66666666666666663</v>
      </c>
      <c r="Z251">
        <v>18</v>
      </c>
      <c r="AA251">
        <v>73</v>
      </c>
      <c r="AB251">
        <v>9</v>
      </c>
      <c r="AC251">
        <v>9</v>
      </c>
      <c r="AD251">
        <v>17</v>
      </c>
      <c r="AE251">
        <v>82</v>
      </c>
      <c r="AF251">
        <v>1</v>
      </c>
      <c r="AG251">
        <v>15</v>
      </c>
    </row>
    <row r="252" spans="1:33">
      <c r="A252">
        <f t="shared" si="4"/>
        <v>2024</v>
      </c>
      <c r="B252">
        <f t="shared" si="5"/>
        <v>11</v>
      </c>
      <c r="C252" t="s">
        <v>253</v>
      </c>
      <c r="D252">
        <v>10</v>
      </c>
      <c r="E252">
        <v>79</v>
      </c>
      <c r="F252">
        <v>10</v>
      </c>
      <c r="G252">
        <v>0</v>
      </c>
      <c r="H252">
        <v>13</v>
      </c>
      <c r="I252">
        <v>77</v>
      </c>
      <c r="J252">
        <v>10</v>
      </c>
      <c r="K252">
        <v>3</v>
      </c>
      <c r="L252">
        <v>53</v>
      </c>
      <c r="M252">
        <v>45</v>
      </c>
      <c r="N252">
        <v>2</v>
      </c>
      <c r="O252">
        <v>51</v>
      </c>
      <c r="P252">
        <v>10</v>
      </c>
      <c r="Q252">
        <v>32</v>
      </c>
      <c r="R252">
        <v>51</v>
      </c>
      <c r="S252">
        <v>7</v>
      </c>
      <c r="T252">
        <v>-8</v>
      </c>
      <c r="U252">
        <v>4</v>
      </c>
      <c r="V252">
        <v>90</v>
      </c>
      <c r="W252">
        <v>6</v>
      </c>
      <c r="X252">
        <v>-1</v>
      </c>
      <c r="Y252">
        <f t="shared" si="3"/>
        <v>1.3333333333333333</v>
      </c>
      <c r="Z252">
        <v>19</v>
      </c>
      <c r="AA252">
        <v>69</v>
      </c>
      <c r="AB252">
        <v>12</v>
      </c>
      <c r="AC252">
        <v>7</v>
      </c>
      <c r="AD252">
        <v>21</v>
      </c>
      <c r="AE252">
        <v>77</v>
      </c>
      <c r="AF252">
        <v>2</v>
      </c>
      <c r="AG252">
        <v>19</v>
      </c>
    </row>
    <row r="253" spans="1:33">
      <c r="A253">
        <f t="shared" si="4"/>
        <v>2024</v>
      </c>
      <c r="B253">
        <f t="shared" si="5"/>
        <v>12</v>
      </c>
      <c r="C253" t="s">
        <v>254</v>
      </c>
      <c r="D253">
        <v>9</v>
      </c>
      <c r="E253">
        <v>80</v>
      </c>
      <c r="F253">
        <v>11</v>
      </c>
      <c r="G253">
        <v>-2</v>
      </c>
      <c r="H253">
        <v>11</v>
      </c>
      <c r="I253">
        <v>80</v>
      </c>
      <c r="J253">
        <v>8</v>
      </c>
      <c r="K253">
        <v>3</v>
      </c>
      <c r="L253">
        <v>53</v>
      </c>
      <c r="M253">
        <v>46</v>
      </c>
      <c r="N253">
        <v>2</v>
      </c>
      <c r="O253">
        <v>51</v>
      </c>
      <c r="P253">
        <v>9</v>
      </c>
      <c r="Q253">
        <v>32</v>
      </c>
      <c r="R253">
        <v>51</v>
      </c>
      <c r="S253">
        <v>7</v>
      </c>
      <c r="T253">
        <v>-7</v>
      </c>
      <c r="U253">
        <v>4</v>
      </c>
      <c r="V253">
        <v>91</v>
      </c>
      <c r="W253">
        <v>5</v>
      </c>
      <c r="X253">
        <v>-1</v>
      </c>
      <c r="Y253">
        <f t="shared" si="3"/>
        <v>0.66666666666666663</v>
      </c>
      <c r="Z253">
        <v>13</v>
      </c>
      <c r="AA253">
        <v>72</v>
      </c>
      <c r="AB253">
        <v>15</v>
      </c>
      <c r="AC253">
        <v>-1</v>
      </c>
      <c r="AD253">
        <v>25</v>
      </c>
      <c r="AE253">
        <v>72</v>
      </c>
      <c r="AF253">
        <v>3</v>
      </c>
      <c r="AG253">
        <v>21</v>
      </c>
    </row>
    <row r="254" spans="1:33">
      <c r="A254">
        <f t="shared" si="4"/>
        <v>2025</v>
      </c>
      <c r="B254">
        <f t="shared" si="5"/>
        <v>1</v>
      </c>
      <c r="C254" t="s">
        <v>255</v>
      </c>
      <c r="D254">
        <v>8</v>
      </c>
      <c r="E254">
        <v>79</v>
      </c>
      <c r="F254">
        <v>12</v>
      </c>
      <c r="G254">
        <v>-4</v>
      </c>
      <c r="H254">
        <v>15</v>
      </c>
      <c r="I254">
        <v>74</v>
      </c>
      <c r="J254">
        <v>10</v>
      </c>
      <c r="K254">
        <v>5</v>
      </c>
      <c r="L254">
        <v>52</v>
      </c>
      <c r="M254">
        <v>46</v>
      </c>
      <c r="N254">
        <v>2</v>
      </c>
      <c r="O254">
        <v>51</v>
      </c>
      <c r="P254">
        <v>10</v>
      </c>
      <c r="Q254">
        <v>32</v>
      </c>
      <c r="R254">
        <v>50</v>
      </c>
      <c r="S254">
        <v>7</v>
      </c>
      <c r="T254">
        <v>-6</v>
      </c>
      <c r="U254">
        <v>2</v>
      </c>
      <c r="V254">
        <v>96</v>
      </c>
      <c r="W254">
        <v>2</v>
      </c>
      <c r="X254">
        <v>1</v>
      </c>
      <c r="Y254">
        <f t="shared" si="3"/>
        <v>0</v>
      </c>
      <c r="Z254">
        <v>6</v>
      </c>
      <c r="AA254">
        <v>79</v>
      </c>
      <c r="AB254">
        <v>15</v>
      </c>
      <c r="AC254">
        <v>-9</v>
      </c>
      <c r="AD254">
        <v>30</v>
      </c>
      <c r="AE254">
        <v>68</v>
      </c>
      <c r="AF254">
        <v>2</v>
      </c>
      <c r="AG254">
        <v>28</v>
      </c>
    </row>
    <row r="255" spans="1:33">
      <c r="A255">
        <f t="shared" si="4"/>
        <v>2025</v>
      </c>
      <c r="B255">
        <f t="shared" si="5"/>
        <v>2</v>
      </c>
      <c r="C255" t="s">
        <v>256</v>
      </c>
      <c r="D255">
        <v>8</v>
      </c>
      <c r="E255">
        <v>81</v>
      </c>
      <c r="F255">
        <v>11</v>
      </c>
      <c r="G255">
        <v>-2</v>
      </c>
      <c r="H255">
        <v>13</v>
      </c>
      <c r="I255">
        <v>72</v>
      </c>
      <c r="J255">
        <v>15</v>
      </c>
      <c r="K255">
        <v>-2</v>
      </c>
      <c r="L255">
        <v>52</v>
      </c>
      <c r="M255">
        <v>45</v>
      </c>
      <c r="N255">
        <v>3</v>
      </c>
      <c r="O255">
        <v>50</v>
      </c>
      <c r="P255">
        <v>10</v>
      </c>
      <c r="Q255">
        <v>33</v>
      </c>
      <c r="R255">
        <v>51</v>
      </c>
      <c r="S255">
        <v>7</v>
      </c>
      <c r="T255">
        <v>-7</v>
      </c>
      <c r="U255">
        <v>6</v>
      </c>
      <c r="V255">
        <v>93</v>
      </c>
      <c r="W255">
        <v>2</v>
      </c>
      <c r="X255">
        <v>4</v>
      </c>
      <c r="Y255">
        <f t="shared" si="3"/>
        <v>-2.6666666666666665</v>
      </c>
      <c r="Z255">
        <v>7</v>
      </c>
      <c r="AA255">
        <v>78</v>
      </c>
      <c r="AB255">
        <v>15</v>
      </c>
      <c r="AC255">
        <v>-8</v>
      </c>
      <c r="AD255">
        <v>29</v>
      </c>
      <c r="AE255">
        <v>69</v>
      </c>
      <c r="AF255">
        <v>2</v>
      </c>
      <c r="AG255">
        <v>27</v>
      </c>
    </row>
    <row r="256" spans="1:33">
      <c r="A256">
        <f t="shared" si="4"/>
        <v>2025</v>
      </c>
      <c r="B256">
        <f t="shared" si="5"/>
        <v>3</v>
      </c>
      <c r="C256" t="s">
        <v>257</v>
      </c>
      <c r="D256">
        <v>13</v>
      </c>
      <c r="E256">
        <v>83</v>
      </c>
      <c r="F256">
        <v>3</v>
      </c>
      <c r="G256">
        <v>10</v>
      </c>
      <c r="H256">
        <v>13</v>
      </c>
      <c r="I256">
        <v>71</v>
      </c>
      <c r="J256">
        <v>16</v>
      </c>
      <c r="K256">
        <v>-3</v>
      </c>
      <c r="L256">
        <v>50</v>
      </c>
      <c r="M256">
        <v>48</v>
      </c>
      <c r="N256">
        <v>3</v>
      </c>
      <c r="O256">
        <v>47</v>
      </c>
      <c r="P256">
        <v>10</v>
      </c>
      <c r="Q256">
        <v>32</v>
      </c>
      <c r="R256">
        <v>50</v>
      </c>
      <c r="S256">
        <v>7</v>
      </c>
      <c r="T256">
        <v>-6</v>
      </c>
      <c r="U256">
        <v>2</v>
      </c>
      <c r="V256">
        <v>96</v>
      </c>
      <c r="W256">
        <v>2</v>
      </c>
      <c r="X256">
        <v>0</v>
      </c>
      <c r="Y256">
        <f t="shared" si="3"/>
        <v>2.3333333333333335</v>
      </c>
      <c r="Z256">
        <v>11</v>
      </c>
      <c r="AA256">
        <v>78</v>
      </c>
      <c r="AB256">
        <v>12</v>
      </c>
      <c r="AC256">
        <v>-1</v>
      </c>
      <c r="AD256">
        <v>29</v>
      </c>
      <c r="AE256">
        <v>69</v>
      </c>
      <c r="AF256">
        <v>2</v>
      </c>
      <c r="AG256">
        <v>27</v>
      </c>
    </row>
    <row r="257" spans="1:33">
      <c r="A257">
        <f t="shared" si="4"/>
        <v>2025</v>
      </c>
      <c r="B257">
        <f t="shared" si="5"/>
        <v>4</v>
      </c>
      <c r="C257" t="s">
        <v>258</v>
      </c>
      <c r="D257">
        <v>14</v>
      </c>
      <c r="E257">
        <v>82</v>
      </c>
      <c r="F257">
        <v>4</v>
      </c>
      <c r="G257">
        <v>10</v>
      </c>
      <c r="H257">
        <v>15</v>
      </c>
      <c r="I257">
        <v>70</v>
      </c>
      <c r="J257">
        <v>15</v>
      </c>
      <c r="K257">
        <v>0</v>
      </c>
      <c r="L257">
        <v>50</v>
      </c>
      <c r="M257">
        <v>47</v>
      </c>
      <c r="N257">
        <v>3</v>
      </c>
      <c r="O257">
        <v>48</v>
      </c>
      <c r="P257">
        <v>6</v>
      </c>
      <c r="Q257">
        <v>35</v>
      </c>
      <c r="R257">
        <v>51</v>
      </c>
      <c r="S257">
        <v>8</v>
      </c>
      <c r="T257">
        <v>-9</v>
      </c>
      <c r="U257">
        <v>3</v>
      </c>
      <c r="V257">
        <v>94</v>
      </c>
      <c r="W257">
        <v>2</v>
      </c>
      <c r="X257">
        <v>1</v>
      </c>
      <c r="Y257">
        <f t="shared" si="3"/>
        <v>3</v>
      </c>
      <c r="Z257">
        <v>13</v>
      </c>
      <c r="AA257">
        <v>77</v>
      </c>
      <c r="AB257">
        <v>11</v>
      </c>
      <c r="AC257">
        <v>2</v>
      </c>
      <c r="AD257">
        <v>27</v>
      </c>
      <c r="AE257">
        <v>72</v>
      </c>
      <c r="AF257">
        <v>1</v>
      </c>
      <c r="AG257">
        <v>25</v>
      </c>
    </row>
    <row r="258" spans="1:33">
      <c r="A258">
        <f t="shared" si="4"/>
        <v>2025</v>
      </c>
      <c r="B258">
        <f t="shared" si="5"/>
        <v>5</v>
      </c>
      <c r="C258" t="s">
        <v>259</v>
      </c>
      <c r="D258">
        <v>15</v>
      </c>
      <c r="E258">
        <v>81</v>
      </c>
      <c r="F258">
        <v>4</v>
      </c>
      <c r="G258">
        <v>11</v>
      </c>
      <c r="H258">
        <v>15</v>
      </c>
      <c r="I258">
        <v>75</v>
      </c>
      <c r="J258">
        <v>10</v>
      </c>
      <c r="K258">
        <v>6</v>
      </c>
      <c r="L258">
        <v>51</v>
      </c>
      <c r="M258">
        <v>47</v>
      </c>
      <c r="N258">
        <v>2</v>
      </c>
      <c r="O258">
        <v>49</v>
      </c>
      <c r="P258">
        <v>7</v>
      </c>
      <c r="Q258">
        <v>34</v>
      </c>
      <c r="R258">
        <v>52</v>
      </c>
      <c r="S258">
        <v>8</v>
      </c>
      <c r="T258">
        <v>-10</v>
      </c>
      <c r="U258">
        <v>3</v>
      </c>
      <c r="V258">
        <v>95</v>
      </c>
      <c r="W258">
        <v>3</v>
      </c>
      <c r="X258">
        <v>0</v>
      </c>
      <c r="Y258">
        <f t="shared" si="3"/>
        <v>5.666666666666667</v>
      </c>
      <c r="Z258">
        <v>14</v>
      </c>
      <c r="AA258">
        <v>76</v>
      </c>
      <c r="AB258">
        <v>10</v>
      </c>
      <c r="AC258">
        <v>4</v>
      </c>
      <c r="AD258">
        <v>22</v>
      </c>
      <c r="AE258">
        <v>76</v>
      </c>
      <c r="AF258">
        <v>2</v>
      </c>
      <c r="AG258">
        <v>21</v>
      </c>
    </row>
    <row r="259" spans="1:33">
      <c r="A259">
        <f t="shared" si="4"/>
        <v>2025</v>
      </c>
      <c r="B259">
        <f t="shared" si="5"/>
        <v>6</v>
      </c>
      <c r="C259" t="s">
        <v>260</v>
      </c>
      <c r="D259">
        <v>14</v>
      </c>
      <c r="E259">
        <v>82</v>
      </c>
      <c r="F259">
        <v>4</v>
      </c>
      <c r="G259">
        <v>10</v>
      </c>
      <c r="H259">
        <v>16</v>
      </c>
      <c r="I259">
        <v>70</v>
      </c>
      <c r="J259">
        <v>13</v>
      </c>
      <c r="K259">
        <v>3</v>
      </c>
      <c r="L259">
        <v>51</v>
      </c>
      <c r="M259">
        <v>47</v>
      </c>
      <c r="N259">
        <v>2</v>
      </c>
      <c r="O259">
        <v>49</v>
      </c>
      <c r="P259">
        <v>7</v>
      </c>
      <c r="Q259">
        <v>33</v>
      </c>
      <c r="R259">
        <v>52</v>
      </c>
      <c r="S259">
        <v>8</v>
      </c>
      <c r="T259">
        <v>-10</v>
      </c>
      <c r="U259">
        <v>3</v>
      </c>
      <c r="V259">
        <v>93</v>
      </c>
      <c r="W259">
        <v>3</v>
      </c>
      <c r="X259">
        <v>0</v>
      </c>
      <c r="Y259">
        <f t="shared" ref="Y259:Y263" si="6">(G259+K259-X259)/3</f>
        <v>4.333333333333333</v>
      </c>
      <c r="Z259">
        <v>13</v>
      </c>
      <c r="AA259">
        <v>76</v>
      </c>
      <c r="AB259">
        <v>11</v>
      </c>
      <c r="AC259">
        <v>1</v>
      </c>
      <c r="AD259">
        <v>23</v>
      </c>
      <c r="AE259">
        <v>74</v>
      </c>
      <c r="AF259">
        <v>2</v>
      </c>
      <c r="AG259">
        <v>21</v>
      </c>
    </row>
    <row r="260" spans="1:33">
      <c r="A260">
        <f t="shared" si="4"/>
        <v>2025</v>
      </c>
      <c r="B260">
        <f t="shared" si="5"/>
        <v>7</v>
      </c>
      <c r="C260" t="s">
        <v>261</v>
      </c>
      <c r="D260">
        <v>14</v>
      </c>
      <c r="E260">
        <v>81</v>
      </c>
      <c r="F260">
        <v>5</v>
      </c>
      <c r="G260">
        <v>9</v>
      </c>
      <c r="H260">
        <v>15</v>
      </c>
      <c r="I260">
        <v>72</v>
      </c>
      <c r="J260">
        <v>13</v>
      </c>
      <c r="K260">
        <v>1</v>
      </c>
      <c r="L260">
        <v>50</v>
      </c>
      <c r="M260">
        <v>47</v>
      </c>
      <c r="N260">
        <v>3</v>
      </c>
      <c r="O260">
        <v>47</v>
      </c>
      <c r="P260">
        <v>7</v>
      </c>
      <c r="Q260">
        <v>33</v>
      </c>
      <c r="R260">
        <v>52</v>
      </c>
      <c r="S260">
        <v>8</v>
      </c>
      <c r="T260">
        <v>-11</v>
      </c>
      <c r="U260">
        <v>3</v>
      </c>
      <c r="V260">
        <v>94</v>
      </c>
      <c r="W260">
        <v>3</v>
      </c>
      <c r="X260">
        <v>0</v>
      </c>
      <c r="Y260">
        <f t="shared" si="6"/>
        <v>3.3333333333333335</v>
      </c>
      <c r="Z260">
        <v>13</v>
      </c>
      <c r="AA260">
        <v>76</v>
      </c>
      <c r="AB260">
        <v>11</v>
      </c>
      <c r="AC260">
        <v>2</v>
      </c>
      <c r="AD260">
        <v>25</v>
      </c>
      <c r="AE260">
        <v>74</v>
      </c>
      <c r="AF260">
        <v>1</v>
      </c>
      <c r="AG260">
        <v>24</v>
      </c>
    </row>
    <row r="261" spans="1:33">
      <c r="A261">
        <f t="shared" si="4"/>
        <v>2025</v>
      </c>
      <c r="B261">
        <f t="shared" si="5"/>
        <v>8</v>
      </c>
      <c r="C261" t="s">
        <v>262</v>
      </c>
      <c r="D261">
        <v>15</v>
      </c>
      <c r="E261">
        <v>80</v>
      </c>
      <c r="F261">
        <v>5</v>
      </c>
      <c r="G261">
        <v>10</v>
      </c>
      <c r="H261">
        <v>16</v>
      </c>
      <c r="I261">
        <v>75</v>
      </c>
      <c r="J261">
        <v>9</v>
      </c>
      <c r="K261">
        <v>7</v>
      </c>
      <c r="L261">
        <v>51</v>
      </c>
      <c r="M261">
        <v>46</v>
      </c>
      <c r="N261">
        <v>3</v>
      </c>
      <c r="O261">
        <v>47</v>
      </c>
      <c r="P261">
        <v>6</v>
      </c>
      <c r="Q261">
        <v>34</v>
      </c>
      <c r="R261">
        <v>52</v>
      </c>
      <c r="S261">
        <v>8</v>
      </c>
      <c r="T261">
        <v>-10</v>
      </c>
      <c r="U261">
        <v>3</v>
      </c>
      <c r="V261">
        <v>94</v>
      </c>
      <c r="W261">
        <v>3</v>
      </c>
      <c r="X261">
        <v>0</v>
      </c>
      <c r="Y261">
        <f t="shared" si="6"/>
        <v>5.666666666666667</v>
      </c>
      <c r="Z261">
        <v>15</v>
      </c>
      <c r="AA261">
        <v>76</v>
      </c>
      <c r="AB261">
        <v>9</v>
      </c>
      <c r="AC261">
        <v>6</v>
      </c>
      <c r="AD261">
        <v>23</v>
      </c>
      <c r="AE261">
        <v>76</v>
      </c>
      <c r="AF261">
        <v>1</v>
      </c>
      <c r="AG261">
        <v>22</v>
      </c>
    </row>
    <row r="262" spans="1:33">
      <c r="A262">
        <f t="shared" si="4"/>
        <v>2025</v>
      </c>
      <c r="B262">
        <f t="shared" si="5"/>
        <v>9</v>
      </c>
      <c r="C262" t="s">
        <v>263</v>
      </c>
      <c r="D262">
        <v>15</v>
      </c>
      <c r="E262">
        <v>80</v>
      </c>
      <c r="F262">
        <v>5</v>
      </c>
      <c r="G262">
        <v>10</v>
      </c>
      <c r="H262">
        <v>19</v>
      </c>
      <c r="I262">
        <v>73</v>
      </c>
      <c r="J262">
        <v>7</v>
      </c>
      <c r="K262">
        <v>12</v>
      </c>
      <c r="L262">
        <v>54</v>
      </c>
      <c r="M262">
        <v>43</v>
      </c>
      <c r="N262">
        <v>3</v>
      </c>
      <c r="O262">
        <v>51</v>
      </c>
      <c r="P262">
        <v>7</v>
      </c>
      <c r="Q262">
        <v>33</v>
      </c>
      <c r="R262">
        <v>53</v>
      </c>
      <c r="S262">
        <v>8</v>
      </c>
      <c r="T262">
        <v>-11</v>
      </c>
      <c r="U262">
        <v>4</v>
      </c>
      <c r="V262">
        <v>92</v>
      </c>
      <c r="W262">
        <v>3</v>
      </c>
      <c r="X262">
        <v>1</v>
      </c>
      <c r="Y262">
        <f t="shared" si="6"/>
        <v>7</v>
      </c>
      <c r="Z262">
        <v>15</v>
      </c>
      <c r="AA262">
        <v>75</v>
      </c>
      <c r="AB262">
        <v>9</v>
      </c>
      <c r="AC262">
        <v>6</v>
      </c>
      <c r="AD262">
        <v>22</v>
      </c>
      <c r="AE262">
        <v>77</v>
      </c>
      <c r="AF262">
        <v>1</v>
      </c>
      <c r="AG262">
        <v>21</v>
      </c>
    </row>
    <row r="263" spans="1:33">
      <c r="A263">
        <f t="shared" si="4"/>
        <v>2025</v>
      </c>
      <c r="B263">
        <f t="shared" si="5"/>
        <v>10</v>
      </c>
      <c r="C263" t="s">
        <v>264</v>
      </c>
      <c r="D263">
        <v>15</v>
      </c>
      <c r="E263">
        <v>79</v>
      </c>
      <c r="F263">
        <v>5</v>
      </c>
      <c r="G263">
        <v>10</v>
      </c>
      <c r="H263">
        <v>16</v>
      </c>
      <c r="I263">
        <v>75</v>
      </c>
      <c r="J263">
        <v>9</v>
      </c>
      <c r="K263">
        <v>7</v>
      </c>
      <c r="L263">
        <v>54</v>
      </c>
      <c r="M263">
        <v>44</v>
      </c>
      <c r="N263">
        <v>3</v>
      </c>
      <c r="O263">
        <v>51</v>
      </c>
      <c r="P263">
        <v>7</v>
      </c>
      <c r="Q263">
        <v>34</v>
      </c>
      <c r="R263">
        <v>51</v>
      </c>
      <c r="S263">
        <v>8</v>
      </c>
      <c r="T263">
        <v>-10</v>
      </c>
      <c r="U263">
        <v>3</v>
      </c>
      <c r="V263">
        <v>93</v>
      </c>
      <c r="W263">
        <v>4</v>
      </c>
      <c r="X263">
        <v>0</v>
      </c>
      <c r="Y263">
        <f t="shared" si="6"/>
        <v>5.666666666666667</v>
      </c>
      <c r="Z263">
        <v>14</v>
      </c>
      <c r="AA263">
        <v>76</v>
      </c>
      <c r="AB263">
        <v>9</v>
      </c>
      <c r="AC263">
        <v>5</v>
      </c>
      <c r="AD263">
        <v>22</v>
      </c>
      <c r="AE263">
        <v>76</v>
      </c>
      <c r="AF263">
        <v>2</v>
      </c>
      <c r="AG263">
        <v>19</v>
      </c>
    </row>
    <row r="264" spans="1:33">
      <c r="A264">
        <f t="shared" si="4"/>
        <v>2025</v>
      </c>
      <c r="B264">
        <f t="shared" si="5"/>
        <v>11</v>
      </c>
      <c r="C264" t="s">
        <v>265</v>
      </c>
      <c r="D264">
        <v>15</v>
      </c>
      <c r="E264">
        <v>79</v>
      </c>
      <c r="F264">
        <v>6</v>
      </c>
      <c r="G264">
        <v>10</v>
      </c>
      <c r="H264">
        <v>18</v>
      </c>
      <c r="I264">
        <v>74</v>
      </c>
      <c r="J264">
        <v>8</v>
      </c>
      <c r="K264">
        <v>10</v>
      </c>
      <c r="L264">
        <v>55</v>
      </c>
      <c r="M264">
        <v>42</v>
      </c>
      <c r="N264">
        <v>3</v>
      </c>
      <c r="O264">
        <v>52</v>
      </c>
      <c r="P264">
        <v>7</v>
      </c>
      <c r="Q264">
        <v>33</v>
      </c>
      <c r="R264">
        <v>52</v>
      </c>
      <c r="S264">
        <v>8</v>
      </c>
      <c r="T264">
        <v>-10</v>
      </c>
      <c r="U264">
        <v>3</v>
      </c>
      <c r="V264">
        <v>93</v>
      </c>
      <c r="W264">
        <v>3</v>
      </c>
      <c r="X264">
        <v>0</v>
      </c>
      <c r="Y264">
        <f>(G264+K264-X264)/3</f>
        <v>6.666666666666667</v>
      </c>
      <c r="Z264">
        <v>17</v>
      </c>
      <c r="AA264">
        <v>71</v>
      </c>
      <c r="AB264">
        <v>12</v>
      </c>
      <c r="AC264">
        <v>6</v>
      </c>
      <c r="AD264">
        <v>26</v>
      </c>
      <c r="AE264">
        <v>72</v>
      </c>
      <c r="AF264">
        <v>3</v>
      </c>
      <c r="AG264">
        <v>23</v>
      </c>
    </row>
  </sheetData>
  <sortState xmlns:xlrd2="http://schemas.microsoft.com/office/spreadsheetml/2017/richdata2" ref="C2:AG251">
    <sortCondition ref="C2:C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2024-11-08T11:56:51Z</dcterms:created>
  <dcterms:modified xsi:type="dcterms:W3CDTF">2026-01-02T15:56:51Z</dcterms:modified>
</cp:coreProperties>
</file>